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549df1ef5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 2" sheetId="1" r:id="Rbe4bdfde638f48d4"/>
    <x:sheet xmlns:r="http://schemas.openxmlformats.org/officeDocument/2006/relationships" name="Pregunta 3.A-G" sheetId="2" r:id="Reb03504ba9744919"/>
    <x:sheet xmlns:r="http://schemas.openxmlformats.org/officeDocument/2006/relationships" name="Pregunta 3.B" sheetId="3" r:id="R5b2efd0fa4de4aee"/>
    <x:sheet xmlns:r="http://schemas.openxmlformats.org/officeDocument/2006/relationships" name="Pregunta 3.C" sheetId="4" r:id="Rabe78ba2b55a4c67"/>
    <x:sheet xmlns:r="http://schemas.openxmlformats.org/officeDocument/2006/relationships" name="Pregunta 3.D" sheetId="5" r:id="R1880dff4d6054820"/>
    <x:sheet xmlns:r="http://schemas.openxmlformats.org/officeDocument/2006/relationships" name="Pregunta 3.E" sheetId="6" r:id="R2c6c8e0f24904aef"/>
    <x:sheet xmlns:r="http://schemas.openxmlformats.org/officeDocument/2006/relationships" name="Pregunta 3.F" sheetId="7" r:id="R9394f082c48d4b4d"/>
  </x:sheets>
</x:workbook>
</file>

<file path=xl/sharedStrings.xml><?xml version="1.0" encoding="utf-8"?>
<x:sst xmlns:x="http://schemas.openxmlformats.org/spreadsheetml/2006/main">
  <x:si>
    <x:t xml:space="preserve">DATOS DEL PROBLEMA</x:t>
  </x:si>
  <x:si>
    <x:t xml:space="preserve">Dimensiones</x:t>
  </x:si>
  <x:si>
    <x:t xml:space="preserve">Propiedades Acero</x:t>
  </x:si>
  <x:si>
    <x:t xml:space="preserve">b [mm]</x:t>
  </x:si>
  <x:si>
    <x:t xml:space="preserve">fy [MPa]</x:t>
  </x:si>
  <x:si>
    <x:t xml:space="preserve">A</x:t>
  </x:si>
  <x:si>
    <x:t xml:space="preserve">Puntos criticos </x:t>
  </x:si>
  <x:si>
    <x:t xml:space="preserve">h [mm]</x:t>
  </x:si>
  <x:si>
    <x:t xml:space="preserve">Es [GPa]</x:t>
  </x:si>
  <x:si>
    <x:t xml:space="preserve">B</x:t>
  </x:si>
  <x:si>
    <x:t xml:space="preserve">Pu </x:t>
  </x:si>
  <x:si>
    <x:t xml:space="preserve">Mu </x:t>
  </x:si>
  <x:si>
    <x:t xml:space="preserve">rec [mm]</x:t>
  </x:si>
  <x:si>
    <x:t xml:space="preserve">εy</x:t>
  </x:si>
  <x:si>
    <x:t xml:space="preserve">C</x:t>
  </x:si>
  <x:si>
    <x:t xml:space="preserve">pto 1</x:t>
  </x:si>
  <x:si>
    <x:t xml:space="preserve">-33.4</x:t>
  </x:si>
  <x:si>
    <x:t xml:space="preserve">Propiedades Hormigón</x:t>
  </x:si>
  <x:si>
    <x:t xml:space="preserve">N°Barras - 1</x:t>
  </x:si>
  <x:si>
    <x:t xml:space="preserve">D</x:t>
  </x:si>
  <x:si>
    <x:t xml:space="preserve">pto 2</x:t>
  </x:si>
  <x:si>
    <x:t xml:space="preserve">fc' [MPa]</x:t>
  </x:si>
  <x:si>
    <x:t xml:space="preserve">N°Barras - 2</x:t>
  </x:si>
  <x:si>
    <x:t xml:space="preserve">E</x:t>
  </x:si>
  <x:si>
    <x:t xml:space="preserve">pto 3</x:t>
  </x:si>
  <x:si>
    <x:t xml:space="preserve">Ec [GPa]</x:t>
  </x:si>
  <x:si>
    <x:t xml:space="preserve">N°Barras - 3</x:t>
  </x:si>
  <x:si>
    <x:t xml:space="preserve">F</x:t>
  </x:si>
  <x:si>
    <x:t xml:space="preserve">pto 4</x:t>
  </x:si>
  <x:si>
    <x:t xml:space="preserve">B1</x:t>
  </x:si>
  <x:si>
    <x:t xml:space="preserve">N°Barras - 4</x:t>
  </x:si>
  <x:si>
    <x:t xml:space="preserve">G</x:t>
  </x:si>
  <x:si>
    <x:t xml:space="preserve">pto 5</x:t>
  </x:si>
  <x:si>
    <x:t xml:space="preserve">εcu</x:t>
  </x:si>
  <x:si>
    <x:t xml:space="preserve">-A</x:t>
  </x:si>
  <x:si>
    <x:t xml:space="preserve">Areas</x:t>
  </x:si>
  <x:si>
    <x:t xml:space="preserve">Diametro 1 [mm]</x:t>
  </x:si>
  <x:si>
    <x:t xml:space="preserve">-B</x:t>
  </x:si>
  <x:si>
    <x:t xml:space="preserve">Ag [mm2]</x:t>
  </x:si>
  <x:si>
    <x:t xml:space="preserve">Diametro 2 [mm]</x:t>
  </x:si>
  <x:si>
    <x:t xml:space="preserve">-C</x:t>
  </x:si>
  <x:si>
    <x:t xml:space="preserve">A1 [mm2]</x:t>
  </x:si>
  <x:si>
    <x:t xml:space="preserve">Diametro 3 [mm]</x:t>
  </x:si>
  <x:si>
    <x:t xml:space="preserve">-D</x:t>
  </x:si>
  <x:si>
    <x:t xml:space="preserve">A2 [mm2]</x:t>
  </x:si>
  <x:si>
    <x:t xml:space="preserve">Diametro 4 [mm]</x:t>
  </x:si>
  <x:si>
    <x:t xml:space="preserve">-E</x:t>
  </x:si>
  <x:si>
    <x:t xml:space="preserve">A3 [mm2]</x:t>
  </x:si>
  <x:si>
    <x:t xml:space="preserve">Diametro 5 [mm]</x:t>
  </x:si>
  <x:si>
    <x:t xml:space="preserve">-F</x:t>
  </x:si>
  <x:si>
    <x:t xml:space="preserve">A4 [mm2]</x:t>
  </x:si>
  <x:si>
    <x:t xml:space="preserve">d1 [mm]</x:t>
  </x:si>
  <x:si>
    <x:t xml:space="preserve">-G</x:t>
  </x:si>
  <x:si>
    <x:t xml:space="preserve">A5 [mm2]</x:t>
  </x:si>
  <x:si>
    <x:t xml:space="preserve">d2 [mm]</x:t>
  </x:si>
  <x:si>
    <x:t xml:space="preserve">Ast [mm2]</x:t>
  </x:si>
  <x:si>
    <x:t xml:space="preserve">d3 [mm]</x:t>
  </x:si>
  <x:si>
    <x:t xml:space="preserve">d4 [mm]</x:t>
  </x:si>
  <x:si>
    <x:t xml:space="preserve">d5 [mm]</x:t>
  </x:si>
  <x:si>
    <x:t xml:space="preserve">Punto A (Compresion Pura)</x:t>
  </x:si>
  <x:si>
    <x:t xml:space="preserve">Resultados</x:t>
  </x:si>
  <x:si>
    <x:t xml:space="preserve">Fila</x:t>
  </x:si>
  <x:si>
    <x:t xml:space="preserve">Asi [mm2]</x:t>
  </x:si>
  <x:si>
    <x:t xml:space="preserve">fsi [MPa]</x:t>
  </x:si>
  <x:si>
    <x:t xml:space="preserve">Fsi [kN]</x:t>
  </x:si>
  <x:si>
    <x:t xml:space="preserve">Estado</x:t>
  </x:si>
  <x:si>
    <x:t xml:space="preserve">P0 [kN]</x:t>
  </x:si>
  <x:si>
    <x:t xml:space="preserve">Pn,max [kN]</x:t>
  </x:si>
  <x:si>
    <x:t xml:space="preserve">ΦPn,max [kN]</x:t>
  </x:si>
  <x:si>
    <x:t xml:space="preserve">Mn [kN*m]</x:t>
  </x:si>
  <x:si>
    <x:t xml:space="preserve">ΦMn [kN*m]</x:t>
  </x:si>
  <x:si>
    <x:t xml:space="preserve">Pregunta 2.B</x:t>
  </x:si>
  <x:si>
    <x:t xml:space="preserve">Punto B (Desf. nula fibra inferior)</x:t>
  </x:si>
  <x:si>
    <x:t xml:space="preserve">εc</x:t>
  </x:si>
  <x:si>
    <x:t xml:space="preserve">di [mm]</x:t>
  </x:si>
  <x:si>
    <x:t xml:space="preserve">εsi</x:t>
  </x:si>
  <x:si>
    <x:t xml:space="preserve">h/2 - di [mm]</x:t>
  </x:si>
  <x:si>
    <x:t xml:space="preserve">c</x:t>
  </x:si>
  <x:si>
    <x:t xml:space="preserve">a</x:t>
  </x:si>
  <x:si>
    <x:t xml:space="preserve">Cc</x:t>
  </x:si>
  <x:si>
    <x:t xml:space="preserve">Pregunta 2.C</x:t>
  </x:si>
  <x:si>
    <x:t xml:space="preserve">Punto C (Balance)</x:t>
  </x:si>
  <x:si>
    <x:t xml:space="preserve">εt</x:t>
  </x:si>
  <x:si>
    <x:t xml:space="preserve">Pregunta 2.D</x:t>
  </x:si>
  <x:si>
    <x:t xml:space="preserve">Punto D (Desf. εs=0,003)</x:t>
  </x:si>
  <x:si>
    <x:t xml:space="preserve">Pregunta 2.E</x:t>
  </x:si>
  <x:si>
    <x:t xml:space="preserve">Punto  E(Desf. εs=0,005)</x:t>
  </x:si>
  <x:si>
    <x:t xml:space="preserve">Pregunta 2.F</x:t>
  </x:si>
  <x:si>
    <x:t xml:space="preserve">Punto  F (Fleccion Pura)</x:t>
  </x:si>
  <x:si>
    <x:t xml:space="preserve">Punto G (Traccion Pura)</x:t>
  </x:si>
  <x:si>
    <x:t xml:space="preserve">Compresion Pura </x:t>
  </x:si>
  <x:si>
    <x:t xml:space="preserve">UHPC compresión [kN]</x:t>
  </x:si>
  <x:si>
    <x:t xml:space="preserve">UHPC tracción [kN]</x:t>
  </x:si>
  <x:si>
    <x:t xml:space="preserve">Acero total [kN]</x:t>
  </x:si>
  <x:si>
    <x:t xml:space="preserve">Pn [kN]</x:t>
  </x:si>
  <x:si>
    <x:t xml:space="preserve">Mn [kN·m]</x:t>
  </x:si>
  <x:si>
    <x:t xml:space="preserve">ft [MPa]</x:t>
  </x:si>
  <x:si>
    <x:t xml:space="preserve">Ec [MPa]</x:t>
  </x:si>
  <x:si>
    <x:t xml:space="preserve">αu</x:t>
  </x:si>
  <x:si>
    <x:t xml:space="preserve">Traccion Pura </x:t>
  </x:si>
  <x:si>
    <x:t xml:space="preserve">εt,loc</x:t>
  </x:si>
  <x:si>
    <x:t xml:space="preserve">εcp</x:t>
  </x:si>
  <x:si>
    <x:t xml:space="preserve">εt,cr</x:t>
  </x:si>
  <x:si>
    <x:t xml:space="preserve">Resumen</x:t>
  </x:si>
  <x:si>
    <x:t xml:space="preserve">Supuesto </x:t>
  </x:si>
  <x:si>
    <x:t xml:space="preserve">Punto</x:t>
  </x:si>
  <x:si>
    <x:t xml:space="preserve">Estribo = Φ10</x:t>
  </x:si>
  <x:si>
    <x:t xml:space="preserve">c[mm]</x:t>
  </x:si>
  <x:si>
    <x:t xml:space="preserve">rec &gt; 25[mm]</x:t>
  </x:si>
  <x:si>
    <x:t xml:space="preserve">Δy [mm]</x:t>
  </x:si>
  <x:si>
    <x:t xml:space="preserve">M_EN UHPC [kN·m]</x:t>
  </x:si>
  <x:si>
    <x:t xml:space="preserve">M_EN acero [kN·m]</x:t>
  </x:si>
  <x:si>
    <x:t xml:space="preserve">M_EN total [kN·m]</x:t>
  </x:si>
  <x:si>
    <x:t xml:space="preserve">Franja</x:t>
  </x:si>
  <x:si>
    <x:t xml:space="preserve">yi [mm]</x:t>
  </x:si>
  <x:si>
    <x:t xml:space="preserve">εi</x:t>
  </x:si>
  <x:si>
    <x:t xml:space="preserve">σc UHPC [MPa]</x:t>
  </x:si>
  <x:si>
    <x:t xml:space="preserve">σt UHPC [MPa]</x:t>
  </x:si>
  <x:si>
    <x:t xml:space="preserve">σ UHPC [MPa]</x:t>
  </x:si>
  <x:si>
    <x:t xml:space="preserve">F UHPC [MPa]</x:t>
  </x:si>
  <x:si>
    <x:t xml:space="preserve">c-yi[mm]</x:t>
  </x:si>
  <x:si>
    <x:t xml:space="preserve">Fila acero</x:t>
  </x:si>
  <x:si>
    <x:t xml:space="preserve">Nº barras</x:t>
  </x:si>
  <x:si>
    <x:t xml:space="preserve">As [mm²]</x:t>
  </x:si>
  <x:si>
    <x:t xml:space="preserve">εs</x:t>
  </x:si>
  <x:si>
    <x:t xml:space="preserve">fs [MPa]</x:t>
  </x:si>
  <x:si>
    <x:t xml:space="preserve">Fs [kN]</x:t>
  </x:si>
  <x:si>
    <x:t xml:space="preserve">c-di [mm]</x:t>
  </x:si>
</x:sst>
</file>

<file path=xl/styles.xml><?xml version="1.0" encoding="utf-8"?>
<x:styleSheet xmlns:x="http://schemas.openxmlformats.org/spreadsheetml/2006/main">
  <x:numFmts count="5">
    <x:numFmt numFmtId="164" formatCode="0.000"/>
    <x:numFmt numFmtId="165" formatCode="0.0"/>
    <x:numFmt numFmtId="166" formatCode="0.000000"/>
    <x:numFmt numFmtId="167" formatCode="0.00000"/>
    <x:numFmt numFmtId="168" formatCode="0.0000"/>
  </x:numFmts>
  <x:fonts count="5">
    <x:font>
      <x:sz val="10"/>
      <x:color rgb="FF000000"/>
      <x:name val="Arial"/>
    </x:font>
    <x:font>
      <x:b/>
      <x:sz val="10"/>
      <x:color theme="1"/>
      <x:name val="Arial"/>
    </x:font>
    <x:font>
      <x:sz val="10"/>
      <x:name val="Arial"/>
    </x:font>
    <x:font>
      <x:sz val="10"/>
      <x:color theme="1"/>
      <x:name val="Arial"/>
    </x:font>
    <x:font>
      <x:sz val="10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34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163">
    <x:xf numFmtId="0" fontId="0" fillId="0" borderId="0" xfId="0"/>
    <x:xf numFmtId="164" fontId="1" fillId="0" borderId="0" xfId="0" applyNumberFormat="1" applyFont="1" applyAlignment="1">
      <x:alignment horizontal="center"/>
    </x:xf>
    <x:xf numFmtId="0" fontId="3" fillId="0" borderId="6" xfId="0" applyFont="1" applyBorder="1"/>
    <x:xf numFmtId="164" fontId="3" fillId="0" borderId="7" xfId="0" applyNumberFormat="1" applyFont="1" applyBorder="1" applyAlignment="1">
      <x:alignment horizontal="center"/>
    </x:xf>
    <x:xf numFmtId="164" fontId="3" fillId="0" borderId="8" xfId="0" applyNumberFormat="1" applyFont="1" applyBorder="1" applyAlignment="1">
      <x:alignment horizontal="center"/>
    </x:xf>
    <x:xf numFmtId="165" fontId="3" fillId="0" borderId="9" xfId="0" applyNumberFormat="1" applyFont="1" applyBorder="1" applyAlignment="1">
      <x:alignment horizontal="center"/>
    </x:xf>
    <x:xf numFmtId="164" fontId="3" fillId="0" borderId="10" xfId="0" applyNumberFormat="1" applyFont="1" applyBorder="1" applyAlignment="1">
      <x:alignment horizontal="center"/>
    </x:xf>
    <x:xf numFmtId="1" fontId="3" fillId="0" borderId="11" xfId="0" applyNumberFormat="1" applyFont="1" applyBorder="1" applyAlignment="1">
      <x:alignment horizontal="center"/>
    </x:xf>
    <x:xf numFmtId="0" fontId="3" fillId="2" borderId="7" xfId="0" applyFont="1" applyFill="1" applyBorder="1"/>
    <x:xf numFmtId="164" fontId="3" fillId="2" borderId="12" xfId="0" applyNumberFormat="1" applyFont="1" applyFill="1" applyBorder="1" applyAlignment="1">
      <x:alignment horizontal="right"/>
    </x:xf>
    <x:xf numFmtId="164" fontId="3" fillId="2" borderId="6" xfId="0" applyNumberFormat="1" applyFont="1" applyFill="1" applyBorder="1" applyAlignment="1">
      <x:alignment horizontal="right"/>
    </x:xf>
    <x:xf numFmtId="164" fontId="3" fillId="2" borderId="7" xfId="0" applyNumberFormat="1" applyFont="1" applyFill="1" applyBorder="1" applyAlignment="1">
      <x:alignment horizontal="right"/>
    </x:xf>
    <x:xf numFmtId="0" fontId="4" fillId="0" borderId="0" xfId="0" applyFont="1"/>
    <x:xf numFmtId="164" fontId="3" fillId="0" borderId="13" xfId="0" applyNumberFormat="1" applyFont="1" applyBorder="1" applyAlignment="1">
      <x:alignment horizontal="center"/>
    </x:xf>
    <x:xf numFmtId="165" fontId="3" fillId="0" borderId="10" xfId="0" applyNumberFormat="1" applyFont="1" applyBorder="1" applyAlignment="1">
      <x:alignment horizontal="center"/>
    </x:xf>
    <x:xf numFmtId="0" fontId="3" fillId="2" borderId="14" xfId="0" applyFont="1" applyFill="1" applyBorder="1"/>
    <x:xf numFmtId="165" fontId="3" fillId="2" borderId="0" xfId="0" applyNumberFormat="1" applyFont="1" applyFill="1" applyAlignment="1">
      <x:alignment horizontal="right"/>
    </x:xf>
    <x:xf numFmtId="165" fontId="3" fillId="2" borderId="15" xfId="0" applyNumberFormat="1" applyFont="1" applyFill="1" applyBorder="1" applyAlignment="1">
      <x:alignment horizontal="right"/>
    </x:xf>
    <x:xf numFmtId="165" fontId="3" fillId="2" borderId="14" xfId="0" applyNumberFormat="1" applyFont="1" applyFill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4" fontId="3" fillId="0" borderId="11" xfId="0" applyNumberFormat="1" applyFont="1" applyBorder="1" applyAlignment="1">
      <x:alignment horizontal="center"/>
    </x:xf>
    <x:xf numFmtId="164" fontId="3" fillId="2" borderId="0" xfId="0" applyNumberFormat="1" applyFont="1" applyFill="1" applyAlignment="1">
      <x:alignment horizontal="right"/>
    </x:xf>
    <x:xf numFmtId="2" fontId="3" fillId="2" borderId="15" xfId="0" applyNumberFormat="1" applyFont="1" applyFill="1" applyBorder="1" applyAlignment="1">
      <x:alignment horizontal="right"/>
    </x:xf>
    <x:xf numFmtId="1" fontId="3" fillId="2" borderId="15" xfId="0" applyNumberFormat="1" applyFont="1" applyFill="1" applyBorder="1" applyAlignment="1">
      <x:alignment horizontal="right"/>
    </x:xf>
    <x:xf numFmtId="164" fontId="3" fillId="2" borderId="14" xfId="0" applyNumberFormat="1" applyFont="1" applyFill="1" applyBorder="1" applyAlignment="1">
      <x:alignment horizontal="right"/>
    </x:xf>
    <x:xf numFmtId="1" fontId="3" fillId="0" borderId="9" xfId="0" applyNumberFormat="1" applyFont="1" applyBorder="1" applyAlignment="1">
      <x:alignment horizontal="center"/>
    </x:xf>
    <x:xf numFmtId="164" fontId="3" fillId="2" borderId="15" xfId="0" applyNumberFormat="1" applyFont="1" applyFill="1" applyBorder="1" applyAlignment="1">
      <x:alignment horizontal="right"/>
    </x:xf>
    <x:xf numFmtId="164" fontId="3" fillId="0" borderId="6" xfId="0" applyNumberFormat="1" applyFont="1" applyBorder="1" applyAlignment="1">
      <x:alignment horizontal="center"/>
    </x:xf>
    <x:xf numFmtId="0" fontId="3" fillId="3" borderId="14" xfId="0" applyFont="1" applyFill="1" applyBorder="1"/>
    <x:xf numFmtId="164" fontId="3" fillId="3" borderId="0" xfId="0" applyNumberFormat="1" applyFont="1" applyFill="1" applyAlignment="1">
      <x:alignment horizontal="right"/>
    </x:xf>
    <x:xf numFmtId="164" fontId="3" fillId="3" borderId="15" xfId="0" applyNumberFormat="1" applyFont="1" applyFill="1" applyBorder="1" applyAlignment="1">
      <x:alignment horizontal="right"/>
    </x:xf>
    <x:xf numFmtId="164" fontId="3" fillId="3" borderId="14" xfId="0" applyNumberFormat="1" applyFont="1" applyFill="1" applyBorder="1" applyAlignment="1">
      <x:alignment horizontal="right"/>
    </x:xf>
    <x:xf numFmtId="165" fontId="3" fillId="3" borderId="14" xfId="0" applyNumberFormat="1" applyFont="1" applyFill="1" applyBorder="1" applyAlignment="1">
      <x:alignment horizontal="right"/>
    </x:xf>
    <x:xf numFmtId="164" fontId="3" fillId="0" borderId="16" xfId="0" applyNumberFormat="1" applyFont="1" applyBorder="1" applyAlignment="1">
      <x:alignment horizontal="center"/>
    </x:xf>
    <x:xf numFmtId="165" fontId="3" fillId="0" borderId="11" xfId="0" applyNumberFormat="1" applyFont="1" applyBorder="1" applyAlignment="1">
      <x:alignment horizontal="center"/>
    </x:xf>
    <x:xf numFmtId="0" fontId="3" fillId="3" borderId="8" xfId="0" applyFont="1" applyFill="1" applyBorder="1"/>
    <x:xf numFmtId="164" fontId="3" fillId="3" borderId="8" xfId="0" applyNumberFormat="1" applyFont="1" applyFill="1" applyBorder="1" applyAlignment="1">
      <x:alignment horizontal="right"/>
    </x:xf>
    <x:xf numFmtId="0" fontId="3" fillId="0" borderId="10" xfId="0" applyFont="1" applyBorder="1" applyAlignment="1">
      <x:alignment horizontal="center"/>
    </x:xf>
    <x:xf numFmtId="1" fontId="3" fillId="0" borderId="14" xfId="0" applyNumberFormat="1" applyFont="1" applyBorder="1" applyAlignment="1">
      <x:alignment horizontal="center"/>
    </x:xf>
    <x:xf numFmtId="164" fontId="3" fillId="0" borderId="14" xfId="0" applyNumberFormat="1" applyFont="1" applyBorder="1" applyAlignment="1">
      <x:alignment horizontal="center"/>
    </x:xf>
    <x:xf numFmtId="164" fontId="3" fillId="0" borderId="17" xfId="0" applyNumberFormat="1" applyFont="1" applyBorder="1" applyAlignment="1">
      <x:alignment horizontal="center"/>
    </x:xf>
    <x:xf numFmtId="1" fontId="3" fillId="0" borderId="8" xfId="0" applyNumberFormat="1" applyFont="1" applyBorder="1" applyAlignment="1">
      <x:alignment horizontal="center"/>
    </x:xf>
    <x:xf numFmtId="164" fontId="3" fillId="0" borderId="18" xfId="0" applyNumberFormat="1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3" fillId="0" borderId="0" xfId="0" applyFont="1"/>
    <x:xf numFmtId="0" fontId="3" fillId="0" borderId="7" xfId="0" applyFont="1" applyBorder="1" applyAlignment="1">
      <x:alignment horizontal="center"/>
    </x:xf>
    <x:xf numFmtId="164" fontId="3" fillId="0" borderId="19" xfId="0" applyNumberFormat="1" applyFont="1" applyBorder="1" applyAlignment="1">
      <x:alignment horizontal="center"/>
    </x:xf>
    <x:xf numFmtId="0" fontId="3" fillId="0" borderId="13" xfId="0" applyFont="1" applyBorder="1"/>
    <x:xf numFmtId="166" fontId="3" fillId="0" borderId="7" xfId="0" applyNumberFormat="1" applyFont="1" applyBorder="1" applyAlignment="1">
      <x:alignment horizontal="right"/>
    </x:xf>
    <x:xf numFmtId="2" fontId="3" fillId="0" borderId="19" xfId="0" applyNumberFormat="1" applyFont="1" applyBorder="1" applyAlignment="1">
      <x:alignment horizontal="right"/>
    </x:xf>
    <x:xf numFmtId="164" fontId="3" fillId="0" borderId="7" xfId="0" applyNumberFormat="1" applyFont="1" applyBorder="1" applyAlignment="1">
      <x:alignment horizontal="right"/>
    </x:xf>
    <x:xf numFmtId="0" fontId="3" fillId="0" borderId="7" xfId="0" applyFont="1" applyBorder="1" applyAlignment="1">
      <x:alignment horizontal="right"/>
    </x:xf>
    <x:xf numFmtId="165" fontId="3" fillId="0" borderId="7" xfId="0" applyNumberFormat="1" applyFont="1" applyBorder="1" applyAlignment="1">
      <x:alignment horizontal="right"/>
    </x:xf>
    <x:xf numFmtId="0" fontId="3" fillId="0" borderId="7" xfId="0" applyFont="1" applyBorder="1"/>
    <x:xf numFmtId="0" fontId="3" fillId="0" borderId="14" xfId="0" applyFont="1" applyBorder="1" applyAlignment="1">
      <x:alignment horizontal="right"/>
    </x:xf>
    <x:xf numFmtId="0" fontId="3" fillId="0" borderId="11" xfId="0" applyFont="1" applyBorder="1" applyAlignment="1">
      <x:alignment horizontal="center"/>
    </x:xf>
    <x:xf numFmtId="165" fontId="3" fillId="0" borderId="15" xfId="0" applyNumberFormat="1" applyFont="1" applyBorder="1" applyAlignment="1">
      <x:alignment horizontal="center"/>
    </x:xf>
    <x:xf numFmtId="167" fontId="3" fillId="0" borderId="14" xfId="0" applyNumberFormat="1" applyFont="1" applyBorder="1" applyAlignment="1">
      <x:alignment horizontal="right"/>
    </x:xf>
    <x:xf numFmtId="2" fontId="3" fillId="0" borderId="17" xfId="0" applyNumberFormat="1" applyFont="1" applyBorder="1" applyAlignment="1">
      <x:alignment horizontal="right"/>
    </x:xf>
    <x:xf numFmtId="164" fontId="3" fillId="0" borderId="14" xfId="0" applyNumberFormat="1" applyFont="1" applyBorder="1" applyAlignment="1">
      <x:alignment horizontal="right"/>
    </x:xf>
    <x:xf numFmtId="165" fontId="3" fillId="0" borderId="14" xfId="0" applyNumberFormat="1" applyFont="1" applyBorder="1" applyAlignment="1">
      <x:alignment horizontal="right"/>
    </x:xf>
    <x:xf numFmtId="0" fontId="3" fillId="0" borderId="14" xfId="0" applyFont="1" applyBorder="1"/>
    <x:xf numFmtId="2" fontId="3" fillId="0" borderId="11" xfId="0" applyNumberFormat="1" applyFont="1" applyBorder="1" applyAlignment="1">
      <x:alignment horizontal="center"/>
    </x:xf>
    <x:xf numFmtId="0" fontId="3" fillId="0" borderId="17" xfId="0" applyFont="1" applyBorder="1" applyAlignment="1">
      <x:alignment horizontal="right"/>
    </x:xf>
    <x:xf numFmtId="167" fontId="3" fillId="0" borderId="8" xfId="0" applyNumberFormat="1" applyFont="1" applyBorder="1" applyAlignment="1">
      <x:alignment horizontal="right"/>
    </x:xf>
    <x:xf numFmtId="0" fontId="3" fillId="0" borderId="18" xfId="0" applyFont="1" applyBorder="1" applyAlignment="1">
      <x:alignment horizontal="right"/>
    </x:xf>
    <x:xf numFmtId="164" fontId="3" fillId="0" borderId="8" xfId="0" applyNumberFormat="1" applyFont="1" applyBorder="1" applyAlignment="1">
      <x:alignment horizontal="right"/>
    </x:xf>
    <x:xf numFmtId="0" fontId="3" fillId="0" borderId="8" xfId="0" applyFont="1" applyBorder="1" applyAlignment="1">
      <x:alignment horizontal="right"/>
    </x:xf>
    <x:xf numFmtId="165" fontId="3" fillId="0" borderId="8" xfId="0" applyNumberFormat="1" applyFont="1" applyBorder="1" applyAlignment="1">
      <x:alignment horizontal="right"/>
    </x:xf>
    <x:xf numFmtId="0" fontId="3" fillId="0" borderId="8" xfId="0" applyFont="1" applyBorder="1"/>
    <x:xf numFmtId="1" fontId="3" fillId="0" borderId="13" xfId="0" applyNumberFormat="1" applyFont="1" applyBorder="1" applyAlignment="1">
      <x:alignment horizontal="center"/>
    </x:xf>
    <x:xf numFmtId="0" fontId="4" fillId="0" borderId="21" xfId="0" applyFont="1" applyBorder="1"/>
    <x:xf numFmtId="164" fontId="3" fillId="0" borderId="9" xfId="0" applyNumberFormat="1" applyFont="1" applyBorder="1" applyAlignment="1">
      <x:alignment horizontal="center"/>
    </x:xf>
    <x:xf numFmtId="1" fontId="3" fillId="0" borderId="18" xfId="0" applyNumberFormat="1" applyFont="1" applyBorder="1" applyAlignment="1">
      <x:alignment horizontal="center"/>
    </x:xf>
    <x:xf numFmtId="0" fontId="4" fillId="0" borderId="25" xfId="0" applyFont="1" applyBorder="1"/>
    <x:xf numFmtId="0" fontId="4" fillId="0" borderId="28" xfId="0" applyFont="1" applyBorder="1"/>
    <x:xf numFmtId="0" fontId="4" fillId="0" borderId="0" xfId="0" applyFont="1" applyAlignment="1">
      <x:alignment horizontal="center"/>
    </x:xf>
    <x:xf numFmtId="2" fontId="3" fillId="0" borderId="10" xfId="0" applyNumberFormat="1" applyFont="1" applyBorder="1" applyAlignment="1">
      <x:alignment horizontal="center"/>
    </x:xf>
    <x:xf numFmtId="168" fontId="3" fillId="0" borderId="6" xfId="0" applyNumberFormat="1" applyFont="1" applyBorder="1" applyAlignment="1">
      <x:alignment horizontal="center"/>
    </x:xf>
    <x:xf numFmtId="167" fontId="3" fillId="0" borderId="6" xfId="0" applyNumberFormat="1" applyFont="1" applyBorder="1" applyAlignment="1">
      <x:alignment horizontal="center"/>
    </x:xf>
    <x:xf numFmtId="166" fontId="3" fillId="0" borderId="6" xfId="0" applyNumberFormat="1" applyFont="1" applyBorder="1" applyAlignment="1">
      <x:alignment horizontal="center"/>
    </x:xf>
    <x:xf numFmtId="164" fontId="3" fillId="0" borderId="29" xfId="0" applyNumberFormat="1" applyFont="1" applyBorder="1" applyAlignment="1">
      <x:alignment horizontal="center"/>
    </x:xf>
    <x:xf numFmtId="164" fontId="3" fillId="0" borderId="22" xfId="0" applyNumberFormat="1" applyFont="1" applyBorder="1" applyAlignment="1">
      <x:alignment horizontal="center"/>
    </x:xf>
    <x:xf numFmtId="164" fontId="3" fillId="0" borderId="23" xfId="0" applyNumberFormat="1" applyFont="1" applyBorder="1" applyAlignment="1">
      <x:alignment horizontal="center"/>
    </x:xf>
    <x:xf numFmtId="0" fontId="4" fillId="3" borderId="24" xfId="0" applyFont="1" applyFill="1" applyBorder="1"/>
    <x:xf numFmtId="0" fontId="4" fillId="3" borderId="16" xfId="0" applyFont="1" applyFill="1" applyBorder="1"/>
    <x:xf numFmtId="0" fontId="4" fillId="3" borderId="25" xfId="0" applyFont="1" applyFill="1" applyBorder="1"/>
    <x:xf numFmtId="164" fontId="4" fillId="3" borderId="16" xfId="0" applyNumberFormat="1" applyFont="1" applyFill="1" applyBorder="1"/>
    <x:xf numFmtId="168" fontId="4" fillId="3" borderId="16" xfId="0" applyNumberFormat="1" applyFont="1" applyFill="1" applyBorder="1"/>
    <x:xf numFmtId="166" fontId="4" fillId="3" borderId="16" xfId="0" applyNumberFormat="1" applyFont="1" applyFill="1" applyBorder="1"/>
    <x:xf numFmtId="0" fontId="4" fillId="2" borderId="24" xfId="0" applyFont="1" applyFill="1" applyBorder="1"/>
    <x:xf numFmtId="0" fontId="4" fillId="2" borderId="16" xfId="0" applyFont="1" applyFill="1" applyBorder="1"/>
    <x:xf numFmtId="0" fontId="4" fillId="2" borderId="25" xfId="0" applyFont="1" applyFill="1" applyBorder="1"/>
    <x:xf numFmtId="164" fontId="4" fillId="2" borderId="16" xfId="0" applyNumberFormat="1" applyFont="1" applyFill="1" applyBorder="1"/>
    <x:xf numFmtId="168" fontId="4" fillId="2" borderId="16" xfId="0" applyNumberFormat="1" applyFont="1" applyFill="1" applyBorder="1"/>
    <x:xf numFmtId="166" fontId="4" fillId="2" borderId="16" xfId="0" applyNumberFormat="1" applyFont="1" applyFill="1" applyBorder="1"/>
    <x:xf numFmtId="0" fontId="4" fillId="2" borderId="26" xfId="0" applyFont="1" applyFill="1" applyBorder="1"/>
    <x:xf numFmtId="0" fontId="4" fillId="2" borderId="27" xfId="0" applyFont="1" applyFill="1" applyBorder="1"/>
    <x:xf numFmtId="0" fontId="4" fillId="2" borderId="28" xfId="0" applyFont="1" applyFill="1" applyBorder="1"/>
    <x:xf numFmtId="0" fontId="4" fillId="0" borderId="30" xfId="0" applyFont="1" applyBorder="1"/>
    <x:xf numFmtId="0" fontId="4" fillId="0" borderId="2" xfId="0" applyFont="1" applyBorder="1"/>
    <x:xf numFmtId="0" fontId="4" fillId="0" borderId="3" xfId="0" applyFont="1" applyBorder="1"/>
    <x:xf numFmtId="0" fontId="4" fillId="0" borderId="8" xfId="0" applyFont="1" applyBorder="1"/>
    <x:xf numFmtId="0" fontId="4" fillId="0" borderId="9" xfId="0" applyFont="1" applyBorder="1"/>
    <x:xf numFmtId="0" fontId="4" fillId="0" borderId="18" xfId="0" applyFont="1" applyBorder="1"/>
    <x:xf numFmtId="0" fontId="4" fillId="0" borderId="13" xfId="0" applyFont="1" applyBorder="1"/>
    <x:xf numFmtId="0" fontId="4" fillId="0" borderId="10" xfId="0" applyFont="1" applyBorder="1"/>
    <x:xf numFmtId="0" fontId="4" fillId="0" borderId="11" xfId="0" applyFont="1" applyBorder="1"/>
    <x:xf numFmtId="0" fontId="4" fillId="0" borderId="18" xfId="0" applyFont="1" applyBorder="1" applyAlignment="1">
      <x:alignment horizontal="left"/>
    </x:xf>
    <x:xf numFmtId="0" fontId="4" fillId="0" borderId="11" xfId="0" applyFont="1" applyBorder="1" applyAlignment="1">
      <x:alignment horizontal="left"/>
    </x:xf>
    <x:xf numFmtId="164" fontId="4" fillId="0" borderId="11" xfId="0" applyNumberFormat="1" applyFont="1" applyBorder="1" applyAlignment="1">
      <x:alignment horizontal="left"/>
    </x:xf>
    <x:xf numFmtId="168" fontId="4" fillId="0" borderId="11" xfId="0" applyNumberFormat="1" applyFont="1" applyBorder="1" applyAlignment="1">
      <x:alignment horizontal="left"/>
    </x:xf>
    <x:xf numFmtId="0" fontId="4" fillId="0" borderId="31" xfId="0" applyFont="1" applyBorder="1"/>
    <x:xf numFmtId="0" fontId="4" fillId="0" borderId="32" xfId="0" applyFont="1" applyBorder="1"/>
    <x:xf numFmtId="0" fontId="4" fillId="0" borderId="33" xfId="0" applyFont="1" applyBorder="1"/>
    <x:xf numFmtId="0" fontId="4" fillId="0" borderId="7" xfId="0" applyFont="1" applyBorder="1"/>
    <x:xf numFmtId="166" fontId="4" fillId="0" borderId="7" xfId="0" applyNumberFormat="1" applyFont="1" applyBorder="1"/>
    <x:xf numFmtId="164" fontId="4" fillId="0" borderId="7" xfId="0" applyNumberFormat="1" applyFont="1" applyBorder="1"/>
    <x:xf numFmtId="168" fontId="4" fillId="0" borderId="7" xfId="0" applyNumberFormat="1" applyFont="1" applyBorder="1"/>
    <x:xf numFmtId="0" fontId="4" fillId="0" borderId="14" xfId="0" applyFont="1" applyBorder="1"/>
    <x:xf numFmtId="1" fontId="4" fillId="0" borderId="14" xfId="0" applyNumberFormat="1" applyFont="1" applyBorder="1"/>
    <x:xf numFmtId="164" fontId="4" fillId="0" borderId="14" xfId="0" applyNumberFormat="1" applyFont="1" applyBorder="1"/>
    <x:xf numFmtId="165" fontId="4" fillId="0" borderId="14" xfId="0" applyNumberFormat="1" applyFont="1" applyBorder="1"/>
    <x:xf numFmtId="166" fontId="4" fillId="0" borderId="14" xfId="0" applyNumberFormat="1" applyFont="1" applyBorder="1"/>
    <x:xf numFmtId="168" fontId="4" fillId="0" borderId="14" xfId="0" applyNumberFormat="1" applyFont="1" applyBorder="1"/>
    <x:xf numFmtId="167" fontId="4" fillId="0" borderId="14" xfId="0" applyNumberFormat="1" applyFont="1" applyBorder="1"/>
    <x:xf numFmtId="1" fontId="4" fillId="0" borderId="8" xfId="0" applyNumberFormat="1" applyFont="1" applyBorder="1"/>
    <x:xf numFmtId="164" fontId="4" fillId="0" borderId="8" xfId="0" applyNumberFormat="1" applyFont="1" applyBorder="1"/>
    <x:xf numFmtId="165" fontId="4" fillId="0" borderId="8" xfId="0" applyNumberFormat="1" applyFont="1" applyBorder="1"/>
    <x:xf numFmtId="164" fontId="4" fillId="0" borderId="0" xfId="0" applyNumberFormat="1" applyFont="1"/>
    <x:xf numFmtId="1" fontId="4" fillId="0" borderId="0" xfId="0" applyNumberFormat="1" applyFont="1"/>
    <x:xf numFmtId="165" fontId="4" fillId="0" borderId="0" xfId="0" applyNumberFormat="1" applyFont="1"/>
    <x:xf numFmtId="2" fontId="4" fillId="0" borderId="14" xfId="0" applyNumberFormat="1" applyFont="1" applyBorder="1"/>
    <x:xf numFmtId="166" fontId="4" fillId="0" borderId="8" xfId="0" applyNumberFormat="1" applyFont="1" applyBorder="1"/>
    <x:xf numFmtId="168" fontId="4" fillId="0" borderId="8" xfId="0" applyNumberFormat="1" applyFont="1" applyBorder="1"/>
    <x:xf numFmtId="166" fontId="4" fillId="0" borderId="0" xfId="0" applyNumberFormat="1" applyFont="1"/>
    <x:xf numFmtId="166" fontId="4" fillId="0" borderId="11" xfId="0" applyNumberFormat="1" applyFont="1" applyBorder="1" applyAlignment="1">
      <x:alignment horizontal="left"/>
    </x:xf>
    <x:xf numFmtId="0" fontId="2" fillId="0" borderId="16" xfId="0" applyFont="1" applyBorder="1"/>
    <x:xf numFmtId="0" fontId="2" fillId="0" borderId="11" xfId="0" applyFont="1" applyBorder="1"/>
    <x:xf numFmtId="164" fontId="3" fillId="0" borderId="10" xfId="0" applyNumberFormat="1" applyFont="1" applyBorder="1" applyAlignment="1">
      <x:alignment horizontal="center"/>
    </x:xf>
    <x:xf numFmtId="0" fontId="2" fillId="0" borderId="16" xfId="0" applyFont="1" applyBorder="1"/>
    <x:xf numFmtId="0" fontId="2" fillId="0" borderId="11" xfId="0" applyFont="1" applyBorder="1"/>
    <x:xf numFmtId="0" fontId="3" fillId="0" borderId="10" xfId="0" applyFont="1" applyBorder="1" applyAlignment="1">
      <x:alignment horizontal="center"/>
    </x:xf>
    <x:xf numFmtId="164" fontId="1" fillId="0" borderId="1" xfId="0" applyNumberFormat="1" applyFont="1" applyBorder="1" applyAlignment="1">
      <x:alignment horizontal="center"/>
    </x:xf>
    <x:xf numFmtId="0" fontId="2" fillId="0" borderId="2" xfId="0" applyFont="1" applyBorder="1"/>
    <x:xf numFmtId="0" fontId="2" fillId="0" borderId="3" xfId="0" applyFont="1" applyBorder="1"/>
    <x:xf numFmtId="164" fontId="3" fillId="0" borderId="1" xfId="0" applyNumberFormat="1" applyFont="1" applyBorder="1" applyAlignment="1">
      <x:alignment horizontal="center"/>
    </x:xf>
    <x:xf numFmtId="164" fontId="3" fillId="0" borderId="4" xfId="0" applyNumberFormat="1" applyFont="1" applyBorder="1" applyAlignment="1">
      <x:alignment horizontal="center"/>
    </x:xf>
    <x:xf numFmtId="0" fontId="2" fillId="0" borderId="5" xfId="0" applyFont="1" applyBorder="1"/>
    <x:xf numFmtId="0" fontId="4" fillId="0" borderId="24" xfId="0" applyFont="1" applyBorder="1"/>
    <x:xf numFmtId="0" fontId="4" fillId="0" borderId="26" xfId="0" applyFont="1" applyBorder="1"/>
    <x:xf numFmtId="0" fontId="2" fillId="0" borderId="27" xfId="0" applyFont="1" applyBorder="1"/>
    <x:xf numFmtId="0" fontId="4" fillId="0" borderId="21" xfId="0" applyFont="1" applyBorder="1"/>
    <x:xf numFmtId="0" fontId="2" fillId="0" borderId="22" xfId="0" applyFont="1" applyBorder="1"/>
    <x:xf numFmtId="0" fontId="2" fillId="0" borderId="23" xfId="0" applyFont="1" applyBorder="1"/>
    <x:xf numFmtId="0" fontId="2" fillId="0" borderId="20" xfId="0" applyFont="1" applyBorder="1"/>
    <x:xf numFmtId="0" fontId="4" fillId="0" borderId="10" xfId="0" applyFont="1" applyBorder="1" applyAlignment="1">
      <x:alignment horizontal="left"/>
    </x:xf>
    <x:xf numFmtId="0" fontId="4" fillId="0" borderId="1" xfId="0" applyFont="1" applyBorder="1" applyAlignment="1">
      <x:alignment horizontal="left"/>
    </x:xf>
    <x:xf numFmtId="0" fontId="4" fillId="0" borderId="9" xfId="0" applyFont="1" applyBorder="1" applyAlignment="1">
      <x:alignment horizontal="left"/>
    </x:xf>
    <x:xf numFmtId="0" fontId="2" fillId="0" borderId="29" xfId="0" applyFont="1" applyBorder="1"/>
    <x:xf numFmtId="164" fontId="3" fillId="0" borderId="16" xfId="0" applyNumberFormat="1" applyFont="1" applyBorder="1" applyAlignment="1">
      <x:alignment horizontal="center"/>
    </x:xf>
    <x:xf numFmtId="164" fontId="3" fillId="0" borderId="11" xfId="0" applyNumberFormat="1" applyFont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3214dfa764d37" /><Relationship Type="http://schemas.openxmlformats.org/officeDocument/2006/relationships/theme" Target="/xl/theme/theme1.xml" Id="Ra8d5b193973a4b32" /><Relationship Type="http://schemas.openxmlformats.org/officeDocument/2006/relationships/sharedStrings" Target="/xl/sharedStrings.xml" Id="Rc575ecb7db8b442d" /><Relationship Type="http://schemas.openxmlformats.org/officeDocument/2006/relationships/worksheet" Target="/xl/worksheets/sheet1.xml" Id="Rbe4bdfde638f48d4" /><Relationship Type="http://schemas.openxmlformats.org/officeDocument/2006/relationships/worksheet" Target="/xl/worksheets/sheet2.xml" Id="Reb03504ba9744919" /><Relationship Type="http://schemas.openxmlformats.org/officeDocument/2006/relationships/worksheet" Target="/xl/worksheets/sheet3.xml" Id="R5b2efd0fa4de4aee" /><Relationship Type="http://schemas.openxmlformats.org/officeDocument/2006/relationships/worksheet" Target="/xl/worksheets/sheet4.xml" Id="Rabe78ba2b55a4c67" /><Relationship Type="http://schemas.openxmlformats.org/officeDocument/2006/relationships/worksheet" Target="/xl/worksheets/sheet5.xml" Id="R1880dff4d6054820" /><Relationship Type="http://schemas.openxmlformats.org/officeDocument/2006/relationships/worksheet" Target="/xl/worksheets/sheet6.xml" Id="R2c6c8e0f24904aef" /><Relationship Type="http://schemas.openxmlformats.org/officeDocument/2006/relationships/worksheet" Target="/xl/worksheets/sheet7.xml" Id="R9394f082c48d4b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2abfb705aa4c42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Diagrama de interacción nominal P-M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v>Pn [kN]</c:v>
          </c:tx>
          <c:xVal>
            <c:numLit>
              <c:formatCode>General</c:formatCode>
              <c:ptCount val="0"/>
            </c:numLit>
          </c:xVal>
          <c:yVal>
            <c:numRef>
              <c:f>'Pregunta 2'!$L$105:$L$118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60707"/>
        <c:axId val="358028481"/>
      </c:scatterChart>
      <c:valAx>
        <c:axId val="35802848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Pn [kN]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006260707"/>
        <c:crosses val="autoZero"/>
        <c:crossBetween val="midCat"/>
      </c:valAx>
      <c:valAx>
        <c:axId val="100626070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Mn [kN·m]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58028481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10</xdr:col>
      <xdr:colOff>600075</xdr:colOff>
      <xdr:row>1</xdr:row>
      <xdr:rowOff>76200</xdr:rowOff>
    </xdr:from>
    <xdr:ext cx="5715000" cy="353377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2abfb705aa4c4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acb9373d414145" /></Relationships>
</file>

<file path=xl/worksheets/sheet1.xml><?xml version="1.0" encoding="utf-8"?>
<x:worksheet xmlns:x="http://schemas.openxmlformats.org/spreadsheetml/2006/main">
  <x:sheetFormatPr baseColWidth="10" defaultColWidth="12.5703125" defaultRowHeight="15.75"/>
  <x:cols>
    <x:col min="3" max="3" width="14.85546875" customWidth="1"/>
  </x:cols>
  <x:sheetData>
    <x:row r="1">
      <x:c r="A1" s="144" t="s">
        <x:v>0</x:v>
      </x:c>
      <x:c r="B1" s="145"/>
      <x:c r="C1" s="145"/>
      <x:c r="D1" s="146"/>
      <x:c r="E1" s="1"/>
      <x:c r="F1" s="1"/>
    </x:row>
    <x:row r="2">
      <x:c r="A2" s="147" t="s">
        <x:v>1</x:v>
      </x:c>
      <x:c r="B2" s="146"/>
      <x:c r="C2" s="148" t="s">
        <x:v>2</x:v>
      </x:c>
      <x:c r="D2" s="149"/>
      <x:c r="F2" s="2"/>
      <x:c r="G2" s="3" t="str">
        <x:v>Pn,max [kN]</x:v>
      </x:c>
      <x:c r="H2" s="3" t="str">
        <x:v>Mn [kN·m]</x:v>
      </x:c>
      <x:c r="I2" s="3" t="str">
        <x:v>ΦPn,max [kN]</x:v>
      </x:c>
      <x:c r="J2" s="3" t="str">
        <x:v>ΦMn [kN·m]</x:v>
      </x:c>
    </x:row>
    <x:row r="3">
      <x:c r="A3" s="4" t="s">
        <x:v>3</x:v>
      </x:c>
      <x:c r="B3" s="5">
        <x:v>700</x:v>
      </x:c>
      <x:c r="C3" s="6" t="s">
        <x:v>4</x:v>
      </x:c>
      <x:c r="D3" s="7">
        <x:v>420</x:v>
      </x:c>
      <x:c r="F3" s="8" t="s">
        <x:v>5</x:v>
      </x:c>
      <x:c r="G3" s="9" t="n">
        <x:f>$H$26</x:f>
        <x:v>13560.83891840862</x:v>
      </x:c>
      <x:c r="H3" s="10" t="n">
        <x:f>$H$28</x:f>
        <x:v>0</x:v>
      </x:c>
      <x:c r="I3" s="10" t="n">
        <x:f>$H$27</x:f>
        <x:v>8814.545296965603</x:v>
      </x:c>
      <x:c r="J3" s="11" t="n">
        <x:f>$H$29</x:f>
        <x:v>0</x:v>
      </x:c>
      <x:c r="S3" s="12" t="s">
        <x:v>6</x:v>
      </x:c>
    </x:row>
    <x:row r="4">
      <x:c r="A4" s="13" t="s">
        <x:v>7</x:v>
      </x:c>
      <x:c r="B4" s="14">
        <x:v>700</x:v>
      </x:c>
      <x:c r="C4" s="6" t="s">
        <x:v>8</x:v>
      </x:c>
      <x:c r="D4" s="7">
        <x:v>210</x:v>
      </x:c>
      <x:c r="F4" s="15" t="s">
        <x:v>9</x:v>
      </x:c>
      <x:c r="G4" s="16" t="n">
        <x:f>$B$41</x:f>
        <x:v>13288.663897272214</x:v>
      </x:c>
      <x:c r="H4" s="17" t="n">
        <x:f>$B$42</x:f>
        <x:v>1027.0546132158543</x:v>
      </x:c>
      <x:c r="I4" s="17" t="n">
        <x:f>$B$43</x:f>
        <x:v>8637.631533226939</x:v>
      </x:c>
      <x:c r="J4" s="18" t="n">
        <x:f>$B$44</x:f>
        <x:v>667.5854985903053</x:v>
      </x:c>
      <x:c r="S4" s="12" t="s">
        <x:v>10</x:v>
      </x:c>
      <x:c r="T4" s="12" t="s">
        <x:v>11</x:v>
      </x:c>
    </x:row>
    <x:row r="5">
      <x:c r="A5" s="3" t="s">
        <x:v>12</x:v>
      </x:c>
      <x:c r="B5" s="19">
        <x:v>50</x:v>
      </x:c>
      <x:c r="C5" s="6" t="s">
        <x:v>13</x:v>
      </x:c>
      <x:c r="D5" s="20" t="n">
        <x:f>(D3)/(D4*1000)</x:f>
        <x:v>0.002</x:v>
      </x:c>
      <x:c r="F5" s="15" t="s">
        <x:v>14</x:v>
      </x:c>
      <x:c r="G5" s="16" t="n">
        <x:f>$B$54</x:f>
        <x:v>6367.563300305559</x:v>
      </x:c>
      <x:c r="H5" s="17" t="n">
        <x:f>$B$55</x:f>
        <x:v>1741.580997887212</x:v>
      </x:c>
      <x:c r="I5" s="17" t="n">
        <x:f>$B$56</x:f>
        <x:v>4138.916145198614</x:v>
      </x:c>
      <x:c r="J5" s="18" t="n">
        <x:f>$B$57</x:f>
        <x:v>1132.027648626688</x:v>
      </x:c>
      <x:c r="R5" s="12" t="s">
        <x:v>15</x:v>
      </x:c>
      <x:c r="S5" s="12">
        <x:v>251</x:v>
      </x:c>
      <x:c r="T5" s="12" t="s">
        <x:v>16</x:v>
      </x:c>
    </x:row>
    <x:row r="6">
      <x:c r="A6" s="147" t="s">
        <x:v>17</x:v>
      </x:c>
      <x:c r="B6" s="146"/>
      <x:c r="C6" s="6" t="s">
        <x:v>18</x:v>
      </x:c>
      <x:c r="D6" s="7">
        <x:v>5</x:v>
      </x:c>
      <x:c r="F6" s="15" t="s">
        <x:v>19</x:v>
      </x:c>
      <x:c r="G6" s="21" t="n">
        <x:f>$B$67</x:f>
        <x:v>5055.615230786891</x:v>
      </x:c>
      <x:c r="H6" s="22" t="n">
        <x:f>$B$68</x:f>
        <x:v>1673.9254996415443</x:v>
      </x:c>
      <x:c r="I6" s="23" t="n">
        <x:f>$B$69</x:f>
        <x:v>3707.45116924372</x:v>
      </x:c>
      <x:c r="J6" s="24" t="n">
        <x:f>$B$70</x:f>
        <x:v>1227.5453664037993</x:v>
      </x:c>
      <x:c r="R6" s="12" t="s">
        <x:v>20</x:v>
      </x:c>
      <x:c r="S6" s="12">
        <x:v>251</x:v>
      </x:c>
      <x:c r="T6" s="12">
        <x:v>-155</x:v>
      </x:c>
    </x:row>
    <x:row r="7">
      <x:c r="A7" s="4" t="s">
        <x:v>21</x:v>
      </x:c>
      <x:c r="B7" s="25">
        <x:v>35</x:v>
      </x:c>
      <x:c r="C7" s="6" t="s">
        <x:v>22</x:v>
      </x:c>
      <x:c r="D7" s="7">
        <x:v>2</x:v>
      </x:c>
      <x:c r="F7" s="15" t="s">
        <x:v>23</x:v>
      </x:c>
      <x:c r="G7" s="21" t="n">
        <x:f>$B$80</x:f>
        <x:v>3411.987945785678</x:v>
      </x:c>
      <x:c r="H7" s="22" t="n">
        <x:f>$B$81</x:f>
        <x:v>1495.7393326712056</x:v>
      </x:c>
      <x:c r="I7" s="23" t="n">
        <x:f>$B$82</x:f>
        <x:v>3070.7891512071105</x:v>
      </x:c>
      <x:c r="J7" s="24" t="n">
        <x:f>$B$83</x:f>
        <x:v>1346.165399404085</x:v>
      </x:c>
      <x:c r="R7" s="12" t="s">
        <x:v>24</x:v>
      </x:c>
      <x:c r="S7" s="12">
        <x:v>99</x:v>
      </x:c>
      <x:c r="T7" s="12">
        <x:v>85</x:v>
      </x:c>
    </x:row>
    <x:row r="8">
      <x:c r="A8" s="13" t="s">
        <x:v>25</x:v>
      </x:c>
      <x:c r="B8" s="6" t="n">
        <x:f>(4700*(SQRT(B7)))/1000</x:f>
        <x:v>27.805574980568196</x:v>
      </x:c>
      <x:c r="C8" s="6" t="s">
        <x:v>26</x:v>
      </x:c>
      <x:c r="D8" s="7">
        <x:v>2</x:v>
      </x:c>
      <x:c r="F8" s="15" t="s">
        <x:v>27</x:v>
      </x:c>
      <x:c r="G8" s="21" t="n">
        <x:f>$B$93</x:f>
        <x:v>2.2737367544323206e-13</x:v>
      </x:c>
      <x:c r="H8" s="23" t="n">
        <x:f>$B$94</x:f>
        <x:v>763.0823359444464</x:v>
      </x:c>
      <x:c r="I8" s="23" t="n">
        <x:f>$B$95</x:f>
        <x:v>2.0463630789890886e-13</x:v>
      </x:c>
      <x:c r="J8" s="24" t="n">
        <x:f>$B$96</x:f>
        <x:v>686.7741023500018</x:v>
      </x:c>
      <x:c r="R8" s="12" t="s">
        <x:v>28</x:v>
      </x:c>
      <x:c r="S8" s="12">
        <x:v>274</x:v>
      </x:c>
      <x:c r="T8" s="12">
        <x:v>-245</x:v>
      </x:c>
    </x:row>
    <x:row r="9">
      <x:c r="A9" s="13" t="s">
        <x:v>29</x:v>
      </x:c>
      <x:c r="B9" s="6" t="n">
        <x:f>IF(B7&lt;=28,0.85,IF(B7&lt;55,0.85-0.05*(B7-28)/7,0.65))</x:f>
        <x:v>0.7999999999999999</x:v>
      </x:c>
      <x:c r="C9" s="6" t="s">
        <x:v>30</x:v>
      </x:c>
      <x:c r="D9" s="7">
        <x:v>2</x:v>
      </x:c>
      <x:c r="F9" s="15" t="s">
        <x:v>31</x:v>
      </x:c>
      <x:c r="G9" s="21" t="n">
        <x:f>$H$99</x:f>
        <x:v>-2554.4918184869325</x:v>
      </x:c>
      <x:c r="H9" s="22" t="n">
        <x:f>$H$101</x:f>
        <x:v>0</x:v>
      </x:c>
      <x:c r="I9" s="26" t="n">
        <x:f>$H$100</x:f>
        <x:v>-2299.0426366382394</x:v>
      </x:c>
      <x:c r="J9" s="24" t="n">
        <x:f>$H$102</x:f>
        <x:v>0</x:v>
      </x:c>
      <x:c r="R9" s="12" t="s">
        <x:v>32</x:v>
      </x:c>
      <x:c r="S9" s="12">
        <x:v>274</x:v>
      </x:c>
      <x:c r="T9" s="12">
        <x:v>-231</x:v>
      </x:c>
    </x:row>
    <x:row r="10">
      <x:c r="A10" s="3" t="s">
        <x:v>33</x:v>
      </x:c>
      <x:c r="B10" s="27">
        <x:v>3.0000000000000001E-3</x:v>
      </x:c>
      <x:c r="C10" s="6" t="str">
        <x:v>N°Barras - 5</x:v>
      </x:c>
      <x:c r="D10" s="7">
        <x:v>5</x:v>
      </x:c>
      <x:c r="F10" s="28" t="s">
        <x:v>34</x:v>
      </x:c>
      <x:c r="G10" s="29" t="n">
        <x:f t="shared" ref="G10:G16" si="0">G3</x:f>
        <x:v>13560.83891840862</x:v>
      </x:c>
      <x:c r="H10" s="30" t="n">
        <x:f t="shared" ref="H10:H16" si="1">-H3</x:f>
        <x:v>0</x:v>
      </x:c>
      <x:c r="I10" s="30" t="n">
        <x:f t="shared" ref="I10:I16" si="2">I3</x:f>
        <x:v>8814.545296965603</x:v>
      </x:c>
      <x:c r="J10" s="31" t="n">
        <x:f>-J3</x:f>
        <x:v>0</x:v>
      </x:c>
    </x:row>
    <x:row r="11">
      <x:c r="A11" s="148" t="s">
        <x:v>35</x:v>
      </x:c>
      <x:c r="B11" s="149"/>
      <x:c r="C11" s="6" t="s">
        <x:v>36</x:v>
      </x:c>
      <x:c r="D11" s="7">
        <x:v>22</x:v>
      </x:c>
      <x:c r="F11" s="28" t="s">
        <x:v>37</x:v>
      </x:c>
      <x:c r="G11" s="29" t="n">
        <x:f t="shared" si="0">G4</x:f>
        <x:v>13288.663897272214</x:v>
      </x:c>
      <x:c r="H11" s="30" t="n">
        <x:f t="shared" si="1">-H4</x:f>
        <x:v>-1027.0546132158543</x:v>
      </x:c>
      <x:c r="I11" s="30" t="n">
        <x:f t="shared" si="2">I4</x:f>
        <x:v>8637.631533226939</x:v>
      </x:c>
      <x:c r="J11" s="32" t="n">
        <x:f>-J4</x:f>
        <x:v>-667.5854985903053</x:v>
      </x:c>
    </x:row>
    <x:row r="12">
      <x:c r="A12" s="6" t="s">
        <x:v>38</x:v>
      </x:c>
      <x:c r="B12" s="33" t="n">
        <x:f>B4*B3</x:f>
        <x:v>490000</x:v>
      </x:c>
      <x:c r="C12" s="6" t="s">
        <x:v>39</x:v>
      </x:c>
      <x:c r="D12" s="7">
        <x:v>22</x:v>
      </x:c>
      <x:c r="F12" s="28" t="s">
        <x:v>40</x:v>
      </x:c>
      <x:c r="G12" s="29" t="n">
        <x:f t="shared" si="0">G5</x:f>
        <x:v>6367.563300305559</x:v>
      </x:c>
      <x:c r="H12" s="30" t="n">
        <x:f t="shared" si="1">-H5</x:f>
        <x:v>-1741.580997887212</x:v>
      </x:c>
      <x:c r="I12" s="30" t="n">
        <x:f t="shared" si="2">I5</x:f>
        <x:v>4138.916145198614</x:v>
      </x:c>
      <x:c r="J12" s="32" t="n">
        <x:f>-J5</x:f>
        <x:v>-1132.027648626688</x:v>
      </x:c>
    </x:row>
    <x:row r="13">
      <x:c r="A13" s="6" t="s">
        <x:v>41</x:v>
      </x:c>
      <x:c r="B13" s="33" t="n">
        <x:f>(PI()/4)*(D11^2)*D6</x:f>
        <x:v>1900.6635554218249</x:v>
      </x:c>
      <x:c r="C13" s="6" t="s">
        <x:v>42</x:v>
      </x:c>
      <x:c r="D13" s="7">
        <x:v>22</x:v>
      </x:c>
      <x:c r="F13" s="28" t="s">
        <x:v>43</x:v>
      </x:c>
      <x:c r="G13" s="29" t="n">
        <x:f t="shared" si="0">G6</x:f>
        <x:v>5055.615230786891</x:v>
      </x:c>
      <x:c r="H13" s="30" t="n">
        <x:f t="shared" si="1">-H6</x:f>
        <x:v>-1673.9254996415443</x:v>
      </x:c>
      <x:c r="I13" s="30" t="n">
        <x:f t="shared" si="2">I6</x:f>
        <x:v>3707.45116924372</x:v>
      </x:c>
      <x:c r="J13" s="31" t="n">
        <x:f>-J6</x:f>
        <x:v>-1227.5453664037993</x:v>
      </x:c>
    </x:row>
    <x:row r="14">
      <x:c r="A14" s="6" t="s">
        <x:v>44</x:v>
      </x:c>
      <x:c r="B14" s="33" t="n">
        <x:f>(PI()/4)*(D12^2)*D7</x:f>
        <x:v>760.26542216873</x:v>
      </x:c>
      <x:c r="C14" s="6" t="s">
        <x:v>45</x:v>
      </x:c>
      <x:c r="D14" s="7">
        <x:v>22</x:v>
      </x:c>
      <x:c r="F14" s="28" t="s">
        <x:v>46</x:v>
      </x:c>
      <x:c r="G14" s="29" t="n">
        <x:f t="shared" si="0">G7</x:f>
        <x:v>3411.987945785678</x:v>
      </x:c>
      <x:c r="H14" s="30" t="n">
        <x:f t="shared" si="1">-H7</x:f>
        <x:v>-1495.7393326712056</x:v>
      </x:c>
      <x:c r="I14" s="30" t="n">
        <x:f t="shared" si="2">I7</x:f>
        <x:v>3070.7891512071105</x:v>
      </x:c>
      <x:c r="J14" s="31" t="n">
        <x:f>-J7</x:f>
        <x:v>-1346.165399404085</x:v>
      </x:c>
    </x:row>
    <x:row r="15">
      <x:c r="A15" s="6" t="s">
        <x:v>47</x:v>
      </x:c>
      <x:c r="B15" s="33" t="n">
        <x:f>(PI()/4)*(D13^2)*D8</x:f>
        <x:v>760.26542216873</x:v>
      </x:c>
      <x:c r="C15" s="6" t="s">
        <x:v>48</x:v>
      </x:c>
      <x:c r="D15" s="7">
        <x:v>22</x:v>
      </x:c>
      <x:c r="F15" s="28" t="s">
        <x:v>49</x:v>
      </x:c>
      <x:c r="G15" s="29" t="n">
        <x:f t="shared" si="0">G8</x:f>
        <x:v>2.2737367544323206e-13</x:v>
      </x:c>
      <x:c r="H15" s="30" t="n">
        <x:f t="shared" si="1">-H8</x:f>
        <x:v>-763.0823359444464</x:v>
      </x:c>
      <x:c r="I15" s="30" t="n">
        <x:f t="shared" si="2">I8</x:f>
        <x:v>2.0463630789890886e-13</x:v>
      </x:c>
      <x:c r="J15" s="31" t="n">
        <x:f>-J8</x:f>
        <x:v>-686.7741023500018</x:v>
      </x:c>
    </x:row>
    <x:row r="16">
      <x:c r="A16" s="6" t="s">
        <x:v>50</x:v>
      </x:c>
      <x:c r="B16" s="33" t="n">
        <x:f>(PI()/4)*(D14^2)*D9</x:f>
        <x:v>760.26542216873</x:v>
      </x:c>
      <x:c r="C16" s="6" t="s">
        <x:v>51</x:v>
      </x:c>
      <x:c r="D16" s="34">
        <x:v>73</x:v>
      </x:c>
      <x:c r="F16" s="35" t="s">
        <x:v>52</x:v>
      </x:c>
      <x:c r="G16" s="29" t="n">
        <x:f t="shared" si="0">G9</x:f>
        <x:v>-2554.4918184869325</x:v>
      </x:c>
      <x:c r="H16" s="30" t="n">
        <x:f t="shared" si="1">-H9</x:f>
        <x:v>0</x:v>
      </x:c>
      <x:c r="I16" s="30" t="n">
        <x:f t="shared" si="2">I9</x:f>
        <x:v>-2299.0426366382394</x:v>
      </x:c>
      <x:c r="J16" s="36" t="n">
        <x:f>-J9</x:f>
        <x:v>0</x:v>
      </x:c>
    </x:row>
    <x:row r="17">
      <x:c r="A17" s="6" t="s">
        <x:v>53</x:v>
      </x:c>
      <x:c r="B17" s="33" t="n">
        <x:f>(PI()/4)*(D15^2)*D10</x:f>
        <x:v>1900.6635554218249</x:v>
      </x:c>
      <x:c r="C17" s="6" t="s">
        <x:v>54</x:v>
      </x:c>
      <x:c r="D17" s="34">
        <x:v>211.5</x:v>
      </x:c>
    </x:row>
    <x:row r="18" ht="15.75" customHeight="1">
      <x:c r="A18" s="6" t="s">
        <x:v>55</x:v>
      </x:c>
      <x:c r="B18" s="33" t="n">
        <x:f>B13+B14+B15+B16+B17</x:f>
        <x:v>6082.12337734984</x:v>
      </x:c>
      <x:c r="C18" s="6" t="s">
        <x:v>56</x:v>
      </x:c>
      <x:c r="D18" s="34">
        <x:v>350</x:v>
      </x:c>
    </x:row>
    <x:row r="19" ht="15.75" customHeight="1">
      <x:c r="C19" s="6" t="s">
        <x:v>57</x:v>
      </x:c>
      <x:c r="D19" s="34">
        <x:v>488.5</x:v>
      </x:c>
    </x:row>
    <x:row r="20">
      <x:c r="C20" s="6" t="s">
        <x:v>58</x:v>
      </x:c>
      <x:c r="D20" s="34">
        <x:v>627</x:v>
      </x:c>
    </x:row>
    <x:row r="21"/>
    <x:row r="22"/>
    <x:row r="23"/>
    <x:row r="24">
      <x:c r="A24" s="140" t="s">
        <x:v>59</x:v>
      </x:c>
      <x:c r="B24" s="141"/>
      <x:c r="C24" s="141"/>
      <x:c r="D24" s="141"/>
      <x:c r="E24" s="142"/>
      <x:c r="G24" s="143" t="s">
        <x:v>60</x:v>
      </x:c>
      <x:c r="H24" s="142"/>
    </x:row>
    <x:row r="25">
      <x:c r="A25" s="13" t="s">
        <x:v>61</x:v>
      </x:c>
      <x:c r="B25" s="13" t="s">
        <x:v>62</x:v>
      </x:c>
      <x:c r="C25" s="13" t="s">
        <x:v>63</x:v>
      </x:c>
      <x:c r="D25" s="13" t="s">
        <x:v>64</x:v>
      </x:c>
      <x:c r="E25" s="20" t="s">
        <x:v>65</x:v>
      </x:c>
      <x:c r="G25" s="13" t="s">
        <x:v>66</x:v>
      </x:c>
      <x:c r="H25" s="13" t="n">
        <x:f>((0.85*$B$7*($B$12-$B$18))+($D$3*$B$18))/1000</x:f>
        <x:v>16951.048648010776</x:v>
      </x:c>
    </x:row>
    <x:row r="26" ht="15.75" customHeight="1">
      <x:c r="A26" s="38">
        <x:v>1</x:v>
      </x:c>
      <x:c r="B26" s="39" t="n">
        <x:f>$B$13</x:f>
        <x:v>1900.6635554218249</x:v>
      </x:c>
      <x:c r="C26" s="38" t="n">
        <x:f>$D$3</x:f>
        <x:v>420</x:v>
      </x:c>
      <x:c r="D26" s="39" t="n">
        <x:f>B26*C26/1000</x:f>
        <x:v>798.2786932771664</x:v>
      </x:c>
      <x:c r="E26" s="40" t="str">
        <x:f t="shared" ref="E26:E29" si="3">IF(C26&gt;=0,"Compresion","Traccion")</x:f>
        <x:v>Compresion</x:v>
      </x:c>
      <x:c r="G26" s="13" t="s">
        <x:v>67</x:v>
      </x:c>
      <x:c r="H26" s="13" t="n">
        <x:f>0.8*H25</x:f>
        <x:v>13560.83891840862</x:v>
      </x:c>
    </x:row>
    <x:row r="27">
      <x:c r="A27" s="38">
        <x:v>2</x:v>
      </x:c>
      <x:c r="B27" s="39" t="n">
        <x:f>$B$14</x:f>
        <x:v>760.26542216873</x:v>
      </x:c>
      <x:c r="C27" s="38" t="n">
        <x:f>$D$3</x:f>
        <x:v>420</x:v>
      </x:c>
      <x:c r="D27" s="39" t="n">
        <x:f t="shared" ref="D27:D29" si="4">B27*C27/1000</x:f>
        <x:v>319.31147731086656</x:v>
      </x:c>
      <x:c r="E27" s="40" t="str">
        <x:f t="shared" si="3">IF(C27&gt;=0,"Compresion","Traccion")</x:f>
        <x:v>Compresion</x:v>
      </x:c>
      <x:c r="G27" s="13" t="s">
        <x:v>68</x:v>
      </x:c>
      <x:c r="H27" s="13" t="n">
        <x:f>0.65*H26</x:f>
        <x:v>8814.545296965603</x:v>
      </x:c>
    </x:row>
    <x:row r="28">
      <x:c r="A28" s="38">
        <x:v>3</x:v>
      </x:c>
      <x:c r="B28" s="39" t="n">
        <x:f>$B$15</x:f>
        <x:v>760.26542216873</x:v>
      </x:c>
      <x:c r="C28" s="38" t="n">
        <x:f>$D$3</x:f>
        <x:v>420</x:v>
      </x:c>
      <x:c r="D28" s="39" t="n">
        <x:f t="shared" si="4">B28*C28/1000</x:f>
        <x:v>319.31147731086656</x:v>
      </x:c>
      <x:c r="E28" s="40" t="str">
        <x:f t="shared" si="3">IF(C28&gt;=0,"Compresion","Traccion")</x:f>
        <x:v>Compresion</x:v>
      </x:c>
      <x:c r="G28" s="13" t="s">
        <x:v>69</x:v>
      </x:c>
      <x:c r="H28" s="13" t="n">
        <x:f>0</x:f>
        <x:v>0</x:v>
      </x:c>
    </x:row>
    <x:row r="29">
      <x:c r="A29" s="41">
        <x:v>4</x:v>
      </x:c>
      <x:c r="B29" s="4" t="n">
        <x:f>$B$16</x:f>
        <x:v>760.26542216873</x:v>
      </x:c>
      <x:c r="C29" s="41" t="n">
        <x:f>$D$3</x:f>
        <x:v>420</x:v>
      </x:c>
      <x:c r="D29" s="4" t="n">
        <x:f t="shared" si="4">B29*C29/1000</x:f>
        <x:v>319.31147731086656</x:v>
      </x:c>
      <x:c r="E29" s="42" t="str">
        <x:f t="shared" si="3">IF(C29&gt;=0,"Compresion","Traccion")</x:f>
        <x:v>Compresion</x:v>
      </x:c>
      <x:c r="G29" s="13" t="s">
        <x:v>70</x:v>
      </x:c>
      <x:c r="H29" s="13" t="n">
        <x:f>0</x:f>
        <x:v>0</x:v>
      </x:c>
    </x:row>
    <x:row r="30">
      <x:c r="A30" s="41">
        <x:v>5</x:v>
      </x:c>
      <x:c r="B30" s="4" t="n">
        <x:f>$B$17</x:f>
        <x:v>1900.6635554218249</x:v>
      </x:c>
      <x:c r="C30" s="41" t="n">
        <x:f>$D$3</x:f>
        <x:v>420</x:v>
      </x:c>
      <x:c r="D30" s="4" t="n">
        <x:f t="shared" ref="D30" si="5">B30*C30/1000</x:f>
        <x:v>798.2786932771664</x:v>
      </x:c>
      <x:c r="E30" s="42" t="str">
        <x:f t="shared" ref="E30" si="6">IF(C30&gt;=0,"Compresion","Traccion")</x:f>
        <x:v>Compresion</x:v>
      </x:c>
    </x:row>
    <x:row r="31"/>
    <x:row r="32"/>
    <x:row r="33"/>
    <x:row r="34">
      <x:c r="A34" s="43" t="s">
        <x:v>71</x:v>
      </x:c>
      <x:c r="B34" s="44"/>
      <x:c r="C34" s="45"/>
      <x:c r="D34" s="140" t="s">
        <x:v>72</x:v>
      </x:c>
      <x:c r="E34" s="161"/>
      <x:c r="F34" s="161"/>
      <x:c r="G34" s="161"/>
      <x:c r="H34" s="161"/>
      <x:c r="I34" s="161"/>
      <x:c r="J34" s="161"/>
      <x:c r="K34" s="161"/>
      <x:c r="L34" s="162"/>
    </x:row>
    <x:row r="35">
      <x:c r="A35" s="6" t="s">
        <x:v>73</x:v>
      </x:c>
      <x:c r="B35" s="20" t="n">
        <x:f>$B$10</x:f>
        <x:v>0.003</x:v>
      </x:c>
      <x:c r="C35" s="45"/>
      <x:c r="D35" s="3" t="s">
        <x:v>61</x:v>
      </x:c>
      <x:c r="E35" s="3" t="s">
        <x:v>74</x:v>
      </x:c>
      <x:c r="F35" s="46" t="s">
        <x:v>75</x:v>
      </x:c>
      <x:c r="G35" s="3" t="s">
        <x:v>63</x:v>
      </x:c>
      <x:c r="H35" s="3" t="s">
        <x:v>62</x:v>
      </x:c>
      <x:c r="I35" s="3" t="s">
        <x:v>64</x:v>
      </x:c>
      <x:c r="J35" s="46" t="s">
        <x:v>76</x:v>
      </x:c>
      <x:c r="K35" s="47" t="s">
        <x:v>65</x:v>
      </x:c>
      <x:c r="L35" s="48" t="str">
        <x:v>Momento respecto h/2 [kN·mm]</x:v>
      </x:c>
    </x:row>
    <x:row r="36">
      <x:c r="A36" s="6" t="str">
        <x:v>ε barra d5</x:v>
      </x:c>
      <x:c r="B36" s="20" t="n">
        <x:f>ABS(F40)</x:f>
        <x:v>0.0003128571428571429</x:v>
      </x:c>
      <x:c r="C36" s="45"/>
      <x:c r="D36" s="3" t="s">
        <x:v>51</x:v>
      </x:c>
      <x:c r="E36" s="19" t="n">
        <x:f>$D$16</x:f>
        <x:v>73</x:v>
      </x:c>
      <x:c r="F36" s="49" t="n">
        <x:f>$B$35*($B$37-E36)/$B$37</x:f>
        <x:v>0.002687142857142857</x:v>
      </x:c>
      <x:c r="G36" s="50" t="n">
        <x:f>MAX(-$D$3,MIN($D$3,$D$4*1000*F36))</x:f>
        <x:v>420</x:v>
      </x:c>
      <x:c r="H36" s="51" t="n">
        <x:f>$B$13</x:f>
        <x:v>1900.6635554218249</x:v>
      </x:c>
      <x:c r="I36" s="52" t="n">
        <x:f>H36*G36/1000</x:f>
        <x:v>798.2786932771664</x:v>
      </x:c>
      <x:c r="J36" s="53" t="n">
        <x:f>$B$4/2-E36</x:f>
        <x:v>277</x:v>
      </x:c>
      <x:c r="K36" s="54" t="str">
        <x:f t="shared" ref="K36:K39" si="7">IF(F36&gt;=0,"Compresion","Traccion")</x:f>
        <x:v>Compresion</x:v>
      </x:c>
      <x:c r="L36" s="55" t="n">
        <x:f>J36*I36</x:f>
        <x:v>221123.19803777512</x:v>
      </x:c>
    </x:row>
    <x:row r="37">
      <x:c r="A37" s="37" t="s">
        <x:v>77</x:v>
      </x:c>
      <x:c r="B37" s="56" t="n">
        <x:f>$B$4</x:f>
        <x:v>700</x:v>
      </x:c>
      <x:c r="C37" s="45"/>
      <x:c r="D37" s="39" t="s">
        <x:v>54</x:v>
      </x:c>
      <x:c r="E37" s="19" t="n">
        <x:f>$D$17</x:f>
        <x:v>211.5</x:v>
      </x:c>
      <x:c r="F37" s="58" t="n">
        <x:f>$B$35*($B$37-E37)/$B$37</x:f>
        <x:v>0.0020935714285714286</x:v>
      </x:c>
      <x:c r="G37" s="59" t="n">
        <x:f t="shared" ref="G37:G39" si="8">MAX(-$D$3,MIN($D$3,$D$4*1000*F37))</x:f>
        <x:v>420</x:v>
      </x:c>
      <x:c r="H37" s="51" t="n">
        <x:f t="shared" ref="H37:H40" si="9">$B$14</x:f>
        <x:v>760.26542216873</x:v>
      </x:c>
      <x:c r="I37" s="55" t="n">
        <x:f t="shared" ref="I37" si="10">H37*G37/1000</x:f>
        <x:v>319.31147731086656</x:v>
      </x:c>
      <x:c r="J37" s="53" t="n">
        <x:f>$B$4/2-E37</x:f>
        <x:v>138.5</x:v>
      </x:c>
      <x:c r="K37" s="62" t="str">
        <x:f t="shared" si="7">IF(F37&gt;=0,"Compresion","Traccion")</x:f>
        <x:v>Compresion</x:v>
      </x:c>
      <x:c r="L37" s="55" t="n">
        <x:f>J37*I37</x:f>
        <x:v>44224.63960755502</x:v>
      </x:c>
    </x:row>
    <x:row r="38" ht="15.75" customHeight="1">
      <x:c r="A38" s="37" t="s">
        <x:v>78</x:v>
      </x:c>
      <x:c r="B38" s="63" t="n">
        <x:f>B37*$B$9</x:f>
        <x:v>560</x:v>
      </x:c>
      <x:c r="C38" s="45"/>
      <x:c r="D38" s="39" t="s">
        <x:v>56</x:v>
      </x:c>
      <x:c r="E38" s="19" t="n">
        <x:f>$D$18</x:f>
        <x:v>350</x:v>
      </x:c>
      <x:c r="F38" s="58" t="n">
        <x:f>$B$35*($B$37-E38)/$B$37</x:f>
        <x:v>0.0015</x:v>
      </x:c>
      <x:c r="G38" s="64" t="n">
        <x:f t="shared" si="8">MAX(-$D$3,MIN($D$3,$D$4*1000*F38))</x:f>
        <x:v>315</x:v>
      </x:c>
      <x:c r="H38" s="51" t="n">
        <x:f t="shared" si="9">$B$15</x:f>
        <x:v>760.26542216873</x:v>
      </x:c>
      <x:c r="I38" s="55" t="n">
        <x:f>H38*G38/1000</x:f>
        <x:v>239.48360798314994</x:v>
      </x:c>
      <x:c r="J38" s="53" t="n">
        <x:f>$B$4/2-E38</x:f>
        <x:v>0</x:v>
      </x:c>
      <x:c r="K38" s="62" t="str">
        <x:f t="shared" si="7">IF(F38&gt;=0,"Compresion","Traccion")</x:f>
        <x:v>Compresion</x:v>
      </x:c>
      <x:c r="L38" s="55" t="n">
        <x:f t="shared" ref="L38" si="11">J38*I38</x:f>
        <x:v>0</x:v>
      </x:c>
    </x:row>
    <x:row r="39" ht="15.75" customHeight="1">
      <x:c r="A39" s="37" t="s">
        <x:v>79</x:v>
      </x:c>
      <x:c r="B39" s="63" t="n">
        <x:f>0.85*$B$7*$B$3*B38/1000</x:f>
        <x:v>11662</x:v>
      </x:c>
      <x:c r="C39" s="45"/>
      <x:c r="D39" s="4" t="s">
        <x:v>57</x:v>
      </x:c>
      <x:c r="E39" s="19" t="n">
        <x:f>$D$19</x:f>
        <x:v>488.5</x:v>
      </x:c>
      <x:c r="F39" s="65" t="n">
        <x:f>$B$35*($B$37-E39)/$B$37</x:f>
        <x:v>0.0009064285714285715</x:v>
      </x:c>
      <x:c r="G39" s="66" t="n">
        <x:f t="shared" si="8">MAX(-$D$3,MIN($D$3,$D$4*1000*F39))</x:f>
        <x:v>190.35000000000002</x:v>
      </x:c>
      <x:c r="H39" s="51" t="n">
        <x:f>$B$16</x:f>
        <x:v>760.26542216873</x:v>
      </x:c>
      <x:c r="I39" s="68" t="n">
        <x:f>H39*G39/1000</x:f>
        <x:v>144.71652310981776</x:v>
      </x:c>
      <x:c r="J39" s="53" t="n">
        <x:f>$B$4/2-E39</x:f>
        <x:v>-138.5</x:v>
      </x:c>
      <x:c r="K39" s="70" t="str">
        <x:f t="shared" si="7">IF(F39&gt;=0,"Compresion","Traccion")</x:f>
        <x:v>Compresion</x:v>
      </x:c>
      <x:c r="L39" s="55" t="n">
        <x:f>J39*I39</x:f>
        <x:v>-20043.23845070976</x:v>
      </x:c>
    </x:row>
    <x:row r="40">
      <x:c r="A40" s="45"/>
      <x:c r="B40" s="45"/>
      <x:c r="C40" s="45"/>
      <x:c r="D40" s="4" t="s">
        <x:v>58</x:v>
      </x:c>
      <x:c r="E40" s="19" t="n">
        <x:f>$D$20</x:f>
        <x:v>627</x:v>
      </x:c>
      <x:c r="F40" s="65" t="n">
        <x:f>$B$35*($B$37-E40)/$B$37</x:f>
        <x:v>0.0003128571428571429</x:v>
      </x:c>
      <x:c r="G40" s="66" t="n">
        <x:f>MAX(-$D$3,MIN($D$3,$D$4*1000*F40))</x:f>
        <x:v>65.7</x:v>
      </x:c>
      <x:c r="H40" s="51" t="n">
        <x:f t="shared" si="9">$B$17</x:f>
        <x:v>1900.6635554218249</x:v>
      </x:c>
      <x:c r="I40" s="68" t="n">
        <x:f>H40*G40/1000</x:f>
        <x:v>124.8735955912139</x:v>
      </x:c>
      <x:c r="J40" s="53" t="n">
        <x:f>$B$4/2-E40</x:f>
        <x:v>-277</x:v>
      </x:c>
      <x:c r="K40" s="70" t="str">
        <x:f t="shared" ref="K40" si="12">IF(F40&gt;=0,"Compresion","Traccion")</x:f>
        <x:v>Compresion</x:v>
      </x:c>
      <x:c r="L40" s="55" t="n">
        <x:f t="shared" ref="L40" si="13">J40*I40</x:f>
        <x:v>-34589.98597876625</x:v>
      </x:c>
    </x:row>
    <x:row r="41">
      <x:c r="A41" s="37" t="str">
        <x:v>Pn [kN]</x:v>
      </x:c>
      <x:c r="B41" s="63" t="n">
        <x:f>B39+SUM(I36:I40)</x:f>
        <x:v>13288.663897272214</x:v>
      </x:c>
      <x:c r="C41" s="45"/>
      <x:c r="D41" s="45"/>
      <x:c r="E41" s="19"/>
      <x:c r="F41" s="65"/>
      <x:c r="G41" s="45"/>
      <x:c r="H41" s="45"/>
      <x:c r="I41" s="45"/>
      <x:c r="J41" s="45"/>
      <x:c r="K41" s="45"/>
      <x:c r="L41" s="45"/>
    </x:row>
    <x:row r="42">
      <x:c r="A42" s="37" t="str">
        <x:v>Mn [kN·m]</x:v>
      </x:c>
      <x:c r="B42" s="20" t="n">
        <x:f>(($B$4/2-B38/2)*B39+SUM(L36:L40))/1000</x:f>
        <x:v>1027.0546132158543</x:v>
      </x:c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</x:row>
    <x:row r="43">
      <x:c r="A43" s="13" t="str">
        <x:v>ΦPn [kN]</x:v>
      </x:c>
      <x:c r="B43" s="13" t="n">
        <x:f>(0.65)*B41</x:f>
        <x:v>8637.631533226939</x:v>
      </x:c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</x:row>
    <x:row r="44">
      <x:c r="A44" s="13" t="str">
        <x:v>ΦMn [kN·m]</x:v>
      </x:c>
      <x:c r="B44" s="71" t="n">
        <x:f t="shared" ref="B44" si="14">(0.65)*B42</x:f>
        <x:v>667.5854985903053</x:v>
      </x:c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</x:row>
    <x:row r="45"/>
    <x:row r="46"/>
    <x:row r="47">
      <x:c r="A47" s="45" t="s">
        <x:v>80</x:v>
      </x:c>
      <x:c r="B47" s="45"/>
      <x:c r="C47" s="45"/>
      <x:c r="D47" s="140" t="s">
        <x:v>81</x:v>
      </x:c>
      <x:c r="E47" s="161"/>
      <x:c r="F47" s="161"/>
      <x:c r="G47" s="161"/>
      <x:c r="H47" s="161"/>
      <x:c r="I47" s="161"/>
      <x:c r="J47" s="161"/>
      <x:c r="K47" s="161"/>
      <x:c r="L47" s="162"/>
    </x:row>
    <x:row r="48">
      <x:c r="A48" s="6" t="s">
        <x:v>73</x:v>
      </x:c>
      <x:c r="B48" s="20" t="n">
        <x:f>$B$10</x:f>
        <x:v>0.003</x:v>
      </x:c>
      <x:c r="C48" s="45"/>
      <x:c r="D48" s="3" t="s">
        <x:v>61</x:v>
      </x:c>
      <x:c r="E48" s="3" t="s">
        <x:v>74</x:v>
      </x:c>
      <x:c r="F48" s="46" t="s">
        <x:v>75</x:v>
      </x:c>
      <x:c r="G48" s="3" t="s">
        <x:v>63</x:v>
      </x:c>
      <x:c r="H48" s="3" t="s">
        <x:v>62</x:v>
      </x:c>
      <x:c r="I48" s="3" t="s">
        <x:v>64</x:v>
      </x:c>
      <x:c r="J48" s="46" t="s">
        <x:v>76</x:v>
      </x:c>
      <x:c r="K48" s="47" t="s">
        <x:v>65</x:v>
      </x:c>
      <x:c r="L48" s="48" t="str">
        <x:v>Momento respecto h/2 [kN·mm]</x:v>
      </x:c>
    </x:row>
    <x:row r="49">
      <x:c r="A49" s="6" t="s">
        <x:v>82</x:v>
      </x:c>
      <x:c r="B49" s="20" t="n">
        <x:f>ABS(F53)</x:f>
        <x:v>0.002</x:v>
      </x:c>
      <x:c r="C49" s="45"/>
      <x:c r="D49" s="3" t="s">
        <x:v>51</x:v>
      </x:c>
      <x:c r="E49" s="19" t="n">
        <x:f>$D$16</x:f>
        <x:v>73</x:v>
      </x:c>
      <x:c r="F49" s="49" t="n">
        <x:f>$B$48*($B$50-E49)/$B$50</x:f>
        <x:v>0.0024178628389154703</x:v>
      </x:c>
      <x:c r="G49" s="50" t="n">
        <x:f t="shared" ref="G49:G52" si="15">MAX(-$D$3,MIN($D$3,$D$4*1000*F49))</x:f>
        <x:v>420</x:v>
      </x:c>
      <x:c r="H49" s="51" t="n">
        <x:f>$B$13</x:f>
        <x:v>1900.6635554218249</x:v>
      </x:c>
      <x:c r="I49" s="52" t="n">
        <x:f t="shared" ref="I49:I52" si="16">H49*G49/1000</x:f>
        <x:v>798.2786932771664</x:v>
      </x:c>
      <x:c r="J49" s="53" t="n">
        <x:f>$B$4/2-E49</x:f>
        <x:v>277</x:v>
      </x:c>
      <x:c r="K49" s="54" t="str">
        <x:f t="shared" ref="K49:K52" si="17">IF(F49&gt;=0,"Compresion","Traccion")</x:f>
        <x:v>Compresion</x:v>
      </x:c>
      <x:c r="L49" s="55" t="n">
        <x:f>J49*I49</x:f>
        <x:v>221123.19803777512</x:v>
      </x:c>
    </x:row>
    <x:row r="50">
      <x:c r="A50" s="37" t="s">
        <x:v>77</x:v>
      </x:c>
      <x:c r="B50" s="56" t="n">
        <x:f>$D$20*$B$48/($B$48+$D$5)</x:f>
        <x:v>376.2</x:v>
      </x:c>
      <x:c r="C50" s="45"/>
      <x:c r="D50" s="39" t="s">
        <x:v>54</x:v>
      </x:c>
      <x:c r="E50" s="19" t="n">
        <x:f>$D$17</x:f>
        <x:v>211.5</x:v>
      </x:c>
      <x:c r="F50" s="58" t="n">
        <x:f>$B$48*($B$50-E50)/$B$50</x:f>
        <x:v>0.0013133971291866028</x:v>
      </x:c>
      <x:c r="G50" s="59" t="n">
        <x:f t="shared" si="15">MAX(-$D$3,MIN($D$3,$D$4*1000*F50))</x:f>
        <x:v>275.81339712918657</x:v>
      </x:c>
      <x:c r="H50" s="60" t="n">
        <x:f>$B$14</x:f>
        <x:v>760.26542216873</x:v>
      </x:c>
      <x:c r="I50" s="55" t="n">
        <x:f t="shared" si="16">H50*G50/1000</x:f>
        <x:v>209.6913888082126</x:v>
      </x:c>
      <x:c r="J50" s="53" t="n">
        <x:f>$B$4/2-E50</x:f>
        <x:v>138.5</x:v>
      </x:c>
      <x:c r="K50" s="62" t="str">
        <x:f t="shared" si="17">IF(F50&gt;=0,"Compresion","Traccion")</x:f>
        <x:v>Compresion</x:v>
      </x:c>
      <x:c r="L50" s="55" t="n">
        <x:f t="shared" ref="L50:L51" si="18">J50*I50</x:f>
        <x:v>29042.257349937445</x:v>
      </x:c>
    </x:row>
    <x:row r="51" ht="15.75" customHeight="1">
      <x:c r="A51" s="37" t="s">
        <x:v>78</x:v>
      </x:c>
      <x:c r="B51" s="63" t="n">
        <x:f>B50*$B$9</x:f>
        <x:v>300.96</x:v>
      </x:c>
      <x:c r="C51" s="45"/>
      <x:c r="D51" s="39" t="s">
        <x:v>56</x:v>
      </x:c>
      <x:c r="E51" s="19" t="n">
        <x:f>$D$18</x:f>
        <x:v>350</x:v>
      </x:c>
      <x:c r="F51" s="58" t="n">
        <x:f>$B$48*($B$50-E51)/$B$50</x:f>
        <x:v>0.00020893141945773516</x:v>
      </x:c>
      <x:c r="G51" s="64" t="n">
        <x:f t="shared" si="15">MAX(-$D$3,MIN($D$3,$D$4*1000*F51))</x:f>
        <x:v>43.875598086124384</x:v>
      </x:c>
      <x:c r="H51" s="60" t="n">
        <x:f>$B$15</x:f>
        <x:v>760.26542216873</x:v>
      </x:c>
      <x:c r="I51" s="55" t="n">
        <x:f t="shared" si="16">H51*G51/1000</x:f>
        <x:v>33.35710010185288</x:v>
      </x:c>
      <x:c r="J51" s="53" t="n">
        <x:f>$B$4/2-E51</x:f>
        <x:v>0</x:v>
      </x:c>
      <x:c r="K51" s="62" t="str">
        <x:f t="shared" si="17">IF(F51&gt;=0,"Compresion","Traccion")</x:f>
        <x:v>Compresion</x:v>
      </x:c>
      <x:c r="L51" s="55" t="n">
        <x:f t="shared" si="18">J51*I51</x:f>
        <x:v>0</x:v>
      </x:c>
    </x:row>
    <x:row r="52" ht="15.75" customHeight="1">
      <x:c r="A52" s="37" t="s">
        <x:v>79</x:v>
      </x:c>
      <x:c r="B52" s="63" t="n">
        <x:f>0.85*$B$7*$B$3*B51/1000</x:f>
        <x:v>6267.492</x:v>
      </x:c>
      <x:c r="C52" s="45"/>
      <x:c r="D52" s="4" t="s">
        <x:v>57</x:v>
      </x:c>
      <x:c r="E52" s="19" t="n">
        <x:f>$D$19</x:f>
        <x:v>488.5</x:v>
      </x:c>
      <x:c r="F52" s="65" t="n">
        <x:f>$B$48*($B$50-E52)/$B$50</x:f>
        <x:v>-0.0008955342902711325</x:v>
      </x:c>
      <x:c r="G52" s="66" t="n">
        <x:f t="shared" si="15">MAX(-$D$3,MIN($D$3,$D$4*1000*F52))</x:f>
        <x:v>-188.06220095693783</x:v>
      </x:c>
      <x:c r="H52" s="67" t="n">
        <x:f>$B$16</x:f>
        <x:v>760.26542216873</x:v>
      </x:c>
      <x:c r="I52" s="68" t="n">
        <x:f t="shared" si="16">H52*G52/1000</x:f>
        <x:v>-142.97718860450686</x:v>
      </x:c>
      <x:c r="J52" s="53" t="n">
        <x:f>$B$4/2-E52</x:f>
        <x:v>-138.5</x:v>
      </x:c>
      <x:c r="K52" s="70" t="str">
        <x:f t="shared" si="17">IF(F52&gt;=0,"Compresion","Traccion")</x:f>
        <x:v>Traccion</x:v>
      </x:c>
      <x:c r="L52" s="55" t="n">
        <x:f>J52*I52</x:f>
        <x:v>19802.3406217242</x:v>
      </x:c>
    </x:row>
    <x:row r="53">
      <x:c r="A53" s="45"/>
      <x:c r="B53" s="45"/>
      <x:c r="C53" s="45"/>
      <x:c r="D53" s="4" t="s">
        <x:v>58</x:v>
      </x:c>
      <x:c r="E53" s="19" t="n">
        <x:f>$D$20</x:f>
        <x:v>627</x:v>
      </x:c>
      <x:c r="F53" s="65" t="n">
        <x:f>$B$48*($B$50-E53)/$B$50</x:f>
        <x:v>-0.002</x:v>
      </x:c>
      <x:c r="G53" s="66" t="n">
        <x:f t="shared" ref="G53" si="19">MAX(-$D$3,MIN($D$3,$D$4*1000*F53))</x:f>
        <x:v>-420</x:v>
      </x:c>
      <x:c r="H53" s="67" t="n">
        <x:f>$B$17</x:f>
        <x:v>1900.6635554218249</x:v>
      </x:c>
      <x:c r="I53" s="68" t="n">
        <x:f t="shared" ref="I53" si="20">H53*G53/1000</x:f>
        <x:v>-798.2786932771664</x:v>
      </x:c>
      <x:c r="J53" s="53" t="n">
        <x:f>$B$4/2-E53</x:f>
        <x:v>-277</x:v>
      </x:c>
      <x:c r="K53" s="70" t="str">
        <x:f t="shared" ref="K53" si="21">IF(F53&gt;=0,"Compresion","Traccion")</x:f>
        <x:v>Traccion</x:v>
      </x:c>
      <x:c r="L53" s="55" t="n">
        <x:f>J53*I53</x:f>
        <x:v>221123.19803777512</x:v>
      </x:c>
    </x:row>
    <x:row r="54">
      <x:c r="A54" s="37" t="str">
        <x:v>Pn [kN]</x:v>
      </x:c>
      <x:c r="B54" s="63" t="n">
        <x:f>B52+SUM(I49:I53)</x:f>
        <x:v>6367.563300305559</x:v>
      </x:c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</x:row>
    <x:row r="55">
      <x:c r="A55" s="37" t="str">
        <x:v>Mn [kN·m]</x:v>
      </x:c>
      <x:c r="B55" s="20" t="n">
        <x:f>(($B$4/2-B51/2)*B52+SUM(L49:L53))/1000</x:f>
        <x:v>1741.580997887212</x:v>
      </x:c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</x:row>
    <x:row r="56">
      <x:c r="A56" s="13" t="str">
        <x:v>ΦPn [kN]</x:v>
      </x:c>
      <x:c r="B56" s="13" t="n">
        <x:f t="shared" ref="B56:B57" si="22">(0.65)*B54</x:f>
        <x:v>4138.916145198614</x:v>
      </x:c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</x:row>
    <x:row r="57">
      <x:c r="A57" s="13" t="str">
        <x:v>ΦMn [kN·m]</x:v>
      </x:c>
      <x:c r="B57" s="71" t="n">
        <x:f t="shared" si="22">(0.65)*B55</x:f>
        <x:v>1132.027648626688</x:v>
      </x:c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</x:row>
    <x:row r="58"/>
    <x:row r="59"/>
    <x:row r="60">
      <x:c r="A60" s="45" t="s">
        <x:v>83</x:v>
      </x:c>
      <x:c r="B60" s="45"/>
      <x:c r="C60" s="45"/>
      <x:c r="D60" s="140" t="s">
        <x:v>84</x:v>
      </x:c>
      <x:c r="E60" s="161"/>
      <x:c r="F60" s="161"/>
      <x:c r="G60" s="161"/>
      <x:c r="H60" s="161"/>
      <x:c r="I60" s="161"/>
      <x:c r="J60" s="161"/>
      <x:c r="K60" s="161"/>
      <x:c r="L60" s="162"/>
    </x:row>
    <x:row r="61">
      <x:c r="A61" s="6" t="s">
        <x:v>73</x:v>
      </x:c>
      <x:c r="B61" s="20" t="n">
        <x:f>$B$10</x:f>
        <x:v>0.003</x:v>
      </x:c>
      <x:c r="C61" s="45"/>
      <x:c r="D61" s="3" t="s">
        <x:v>61</x:v>
      </x:c>
      <x:c r="E61" s="3" t="s">
        <x:v>74</x:v>
      </x:c>
      <x:c r="F61" s="46" t="s">
        <x:v>75</x:v>
      </x:c>
      <x:c r="G61" s="3" t="s">
        <x:v>63</x:v>
      </x:c>
      <x:c r="H61" s="3" t="s">
        <x:v>62</x:v>
      </x:c>
      <x:c r="I61" s="3" t="s">
        <x:v>64</x:v>
      </x:c>
      <x:c r="J61" s="46" t="s">
        <x:v>76</x:v>
      </x:c>
      <x:c r="K61" s="47" t="s">
        <x:v>65</x:v>
      </x:c>
      <x:c r="L61" s="48" t="str">
        <x:v>Momento respecto h/2 [kN·mm]</x:v>
      </x:c>
    </x:row>
    <x:row r="62">
      <x:c r="A62" s="6" t="s">
        <x:v>82</x:v>
      </x:c>
      <x:c r="B62" s="20" t="n">
        <x:f>ABS(F66)</x:f>
        <x:v>0.003</x:v>
      </x:c>
      <x:c r="C62" s="45"/>
      <x:c r="D62" s="3" t="s">
        <x:v>51</x:v>
      </x:c>
      <x:c r="E62" s="19" t="n">
        <x:f>$D$16</x:f>
        <x:v>73</x:v>
      </x:c>
      <x:c r="F62" s="49" t="n">
        <x:f>$B$61*($B$63-E62)/$B$63</x:f>
        <x:v>0.0023014354066985647</x:v>
      </x:c>
      <x:c r="G62" s="50" t="n">
        <x:f t="shared" ref="G62:G65" si="23">MAX(-$D$3,MIN($D$3,$D$4*1000*F62))</x:f>
        <x:v>420</x:v>
      </x:c>
      <x:c r="H62" s="51" t="n">
        <x:f>$B$13</x:f>
        <x:v>1900.6635554218249</x:v>
      </x:c>
      <x:c r="I62" s="52" t="n">
        <x:f t="shared" ref="I62:I65" si="24">H62*G62/1000</x:f>
        <x:v>798.2786932771664</x:v>
      </x:c>
      <x:c r="J62" s="53" t="n">
        <x:f>$B$4/2-E62</x:f>
        <x:v>277</x:v>
      </x:c>
      <x:c r="K62" s="54" t="str">
        <x:f t="shared" ref="K62:K65" si="25">IF(F62&gt;=0,"Compresion","Traccion")</x:f>
        <x:v>Compresion</x:v>
      </x:c>
      <x:c r="L62" s="55" t="n">
        <x:f t="shared" ref="L62:L65" si="26">J62*I62</x:f>
        <x:v>221123.19803777512</x:v>
      </x:c>
    </x:row>
    <x:row r="63">
      <x:c r="A63" s="37" t="s">
        <x:v>77</x:v>
      </x:c>
      <x:c r="B63" s="56" t="n">
        <x:f>$D$20*$B$61/($B$61+0.003)</x:f>
        <x:v>313.5</x:v>
      </x:c>
      <x:c r="C63" s="45"/>
      <x:c r="D63" s="39" t="s">
        <x:v>54</x:v>
      </x:c>
      <x:c r="E63" s="19" t="n">
        <x:f t="shared" ref="E63:E65" si="27">$D$17</x:f>
        <x:v>211.5</x:v>
      </x:c>
      <x:c r="F63" s="58" t="n">
        <x:f>$B$61*($B$63-E63)/$B$63</x:f>
        <x:v>0.0009760765550239234</x:v>
      </x:c>
      <x:c r="G63" s="59" t="n">
        <x:f t="shared" si="23">MAX(-$D$3,MIN($D$3,$D$4*1000*F63))</x:f>
        <x:v>204.97607655502392</x:v>
      </x:c>
      <x:c r="H63" s="60" t="n">
        <x:f>$B$14</x:f>
        <x:v>760.26542216873</x:v>
      </x:c>
      <x:c r="I63" s="55" t="n">
        <x:f t="shared" si="24">H63*G63/1000</x:f>
        <x:v>155.83622337659517</x:v>
      </x:c>
      <x:c r="J63" s="61" t="n">
        <x:f>$B$4/2-E63</x:f>
        <x:v>138.5</x:v>
      </x:c>
      <x:c r="K63" s="62" t="str">
        <x:f t="shared" si="25">IF(F63&gt;=0,"Compresion","Traccion")</x:f>
        <x:v>Compresion</x:v>
      </x:c>
      <x:c r="L63" s="55" t="n">
        <x:f t="shared" si="26">J63*I63</x:f>
        <x:v>21583.31693765843</x:v>
      </x:c>
    </x:row>
    <x:row r="64" ht="15.75" customHeight="1">
      <x:c r="A64" s="37" t="s">
        <x:v>78</x:v>
      </x:c>
      <x:c r="B64" s="63" t="n">
        <x:f>B63*$B$9</x:f>
        <x:v>250.79999999999998</x:v>
      </x:c>
      <x:c r="C64" s="45"/>
      <x:c r="D64" s="39" t="s">
        <x:v>56</x:v>
      </x:c>
      <x:c r="E64" s="19" t="n">
        <x:f t="shared" si="27">$D$18</x:f>
        <x:v>350</x:v>
      </x:c>
      <x:c r="F64" s="58" t="n">
        <x:f>$B$61*($B$63-E64)/$B$63</x:f>
        <x:v>-0.0003492822966507177</x:v>
      </x:c>
      <x:c r="G64" s="64" t="n">
        <x:f t="shared" si="23">MAX(-$D$3,MIN($D$3,$D$4*1000*F64))</x:f>
        <x:v>-73.34928229665071</x:v>
      </x:c>
      <x:c r="H64" s="60" t="n">
        <x:f>$B$15</x:f>
        <x:v>760.26542216873</x:v>
      </x:c>
      <x:c r="I64" s="55" t="n">
        <x:f t="shared" si="24">H64*G64/1000</x:f>
        <x:v>-55.764923071036506</x:v>
      </x:c>
      <x:c r="J64" s="61" t="n">
        <x:f>$B$4/2-E64</x:f>
        <x:v>0</x:v>
      </x:c>
      <x:c r="K64" s="62" t="str">
        <x:f t="shared" si="25">IF(F64&gt;=0,"Compresion","Traccion")</x:f>
        <x:v>Traccion</x:v>
      </x:c>
      <x:c r="L64" s="55" t="n">
        <x:f t="shared" si="26">J64*I64</x:f>
        <x:v>0</x:v>
      </x:c>
    </x:row>
    <x:row r="65" ht="15.75" customHeight="1">
      <x:c r="A65" s="37" t="s">
        <x:v>79</x:v>
      </x:c>
      <x:c r="B65" s="63" t="n">
        <x:f>0.85*$B$7*$B$3*B64/1000</x:f>
        <x:v>5222.91</x:v>
      </x:c>
      <x:c r="C65" s="45"/>
      <x:c r="D65" s="4" t="s">
        <x:v>57</x:v>
      </x:c>
      <x:c r="E65" s="19" t="n">
        <x:f t="shared" si="27">$D$19</x:f>
        <x:v>488.5</x:v>
      </x:c>
      <x:c r="F65" s="65" t="n">
        <x:f>$B$61*($B$63-E65)/$B$63</x:f>
        <x:v>-0.0016746411483253589</x:v>
      </x:c>
      <x:c r="G65" s="66" t="n">
        <x:f t="shared" si="23">MAX(-$D$3,MIN($D$3,$D$4*1000*F65))</x:f>
        <x:v>-351.67464114832535</x:v>
      </x:c>
      <x:c r="H65" s="67" t="n">
        <x:f>$B$16</x:f>
        <x:v>760.26542216873</x:v>
      </x:c>
      <x:c r="I65" s="68" t="n">
        <x:f t="shared" si="24">H65*G65/1000</x:f>
        <x:v>-267.36606951866816</x:v>
      </x:c>
      <x:c r="J65" s="69" t="n">
        <x:f>$B$4/2-E65</x:f>
        <x:v>-138.5</x:v>
      </x:c>
      <x:c r="K65" s="70" t="str">
        <x:f t="shared" si="25">IF(F65&gt;=0,"Compresion","Traccion")</x:f>
        <x:v>Traccion</x:v>
      </x:c>
      <x:c r="L65" s="55" t="n">
        <x:f t="shared" si="26">J65*I65</x:f>
        <x:v>37030.20062833554</x:v>
      </x:c>
    </x:row>
    <x:row r="66">
      <x:c r="A66" s="45"/>
      <x:c r="B66" s="45"/>
      <x:c r="C66" s="45"/>
      <x:c r="D66" s="4" t="s">
        <x:v>58</x:v>
      </x:c>
      <x:c r="E66" s="19" t="n">
        <x:f>$D$20</x:f>
        <x:v>627</x:v>
      </x:c>
      <x:c r="F66" s="65" t="n">
        <x:f>$B$61*($B$63-E66)/$B$63</x:f>
        <x:v>-0.003</x:v>
      </x:c>
      <x:c r="G66" s="66" t="n">
        <x:f t="shared" ref="G66" si="28">MAX(-$D$3,MIN($D$3,$D$4*1000*F66))</x:f>
        <x:v>-420</x:v>
      </x:c>
      <x:c r="H66" s="67" t="n">
        <x:f>$B$17</x:f>
        <x:v>1900.6635554218249</x:v>
      </x:c>
      <x:c r="I66" s="68" t="n">
        <x:f>H66*G66/1000</x:f>
        <x:v>-798.2786932771664</x:v>
      </x:c>
      <x:c r="J66" s="69" t="n">
        <x:f>$B$4/2-E66</x:f>
        <x:v>-277</x:v>
      </x:c>
      <x:c r="K66" s="70" t="str">
        <x:f t="shared" ref="K66" si="29">IF(F66&gt;=0,"Compresion","Traccion")</x:f>
        <x:v>Traccion</x:v>
      </x:c>
      <x:c r="L66" s="55" t="n">
        <x:f t="shared" ref="L66" si="30">J66*I66</x:f>
        <x:v>221123.19803777512</x:v>
      </x:c>
    </x:row>
    <x:row r="67">
      <x:c r="A67" s="37" t="str">
        <x:v>Pn [kN]</x:v>
      </x:c>
      <x:c r="B67" s="63" t="n">
        <x:f>B65+SUM(I62:I66)</x:f>
        <x:v>5055.615230786891</x:v>
      </x:c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</x:row>
    <x:row r="68">
      <x:c r="A68" s="37" t="str">
        <x:v>Mn [kN·m]</x:v>
      </x:c>
      <x:c r="B68" s="20" t="n">
        <x:f>(($B$4/2-B64/2)*B65+SUM(L62:L66))/1000</x:f>
        <x:v>1673.9254996415443</x:v>
      </x:c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</x:row>
    <x:row r="69">
      <x:c r="A69" s="13" t="str">
        <x:v>ΦPn [kN]</x:v>
      </x:c>
      <x:c r="B69" s="13" t="n">
        <x:f t="shared" ref="B69:B70" si="31">(0.65+0.25*(0.003-$D$5)/(0.005-$D$5))*B67</x:f>
        <x:v>3707.45116924372</x:v>
      </x:c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</x:row>
    <x:row r="70">
      <x:c r="A70" s="13" t="str">
        <x:v>ΦMn [kN·m]</x:v>
      </x:c>
      <x:c r="B70" s="71" t="n">
        <x:f t="shared" si="31">(0.65+0.25*(0.003-$D$5)/(0.005-$D$5))*B68</x:f>
        <x:v>1227.5453664037993</x:v>
      </x:c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</x:row>
    <x:row r="71"/>
    <x:row r="72"/>
    <x:row r="73">
      <x:c r="A73" s="45" t="s">
        <x:v>85</x:v>
      </x:c>
      <x:c r="B73" s="45"/>
      <x:c r="C73" s="45"/>
      <x:c r="D73" s="6" t="s">
        <x:v>86</x:v>
      </x:c>
      <x:c r="E73" s="138"/>
      <x:c r="F73" s="138"/>
      <x:c r="G73" s="138"/>
      <x:c r="H73" s="138"/>
      <x:c r="I73" s="138"/>
      <x:c r="J73" s="138"/>
      <x:c r="K73" s="138"/>
      <x:c r="L73" s="139"/>
    </x:row>
    <x:row r="74">
      <x:c r="A74" s="6" t="s">
        <x:v>73</x:v>
      </x:c>
      <x:c r="B74" s="20" t="n">
        <x:f>$B$10</x:f>
        <x:v>0.003</x:v>
      </x:c>
      <x:c r="C74" s="45"/>
      <x:c r="D74" s="3" t="s">
        <x:v>61</x:v>
      </x:c>
      <x:c r="E74" s="3" t="s">
        <x:v>74</x:v>
      </x:c>
      <x:c r="F74" s="46" t="s">
        <x:v>75</x:v>
      </x:c>
      <x:c r="G74" s="3" t="s">
        <x:v>63</x:v>
      </x:c>
      <x:c r="H74" s="3" t="s">
        <x:v>62</x:v>
      </x:c>
      <x:c r="I74" s="3" t="s">
        <x:v>64</x:v>
      </x:c>
      <x:c r="J74" s="46" t="s">
        <x:v>76</x:v>
      </x:c>
      <x:c r="K74" s="47" t="s">
        <x:v>65</x:v>
      </x:c>
      <x:c r="L74" s="48" t="str">
        <x:v>Momento respecto h/2 [kN·mm]</x:v>
      </x:c>
    </x:row>
    <x:row r="75">
      <x:c r="A75" s="6" t="s">
        <x:v>82</x:v>
      </x:c>
      <x:c r="B75" s="20" t="n">
        <x:f>ABS(F79)</x:f>
        <x:v>0.004999999999999999</x:v>
      </x:c>
      <x:c r="C75" s="45"/>
      <x:c r="D75" s="3" t="s">
        <x:v>51</x:v>
      </x:c>
      <x:c r="E75" s="19" t="n">
        <x:f>$D$16</x:f>
        <x:v>73</x:v>
      </x:c>
      <x:c r="F75" s="49" t="n">
        <x:f>$B$74*($B$76-E75)/$B$76</x:f>
        <x:v>0.0020685805422647526</x:v>
      </x:c>
      <x:c r="G75" s="50" t="n">
        <x:f t="shared" ref="G75:G78" si="32">MAX(-$D$3,MIN($D$3,$D$4*1000*F75))</x:f>
        <x:v>420</x:v>
      </x:c>
      <x:c r="H75" s="51" t="n">
        <x:f>$B$13</x:f>
        <x:v>1900.6635554218249</x:v>
      </x:c>
      <x:c r="I75" s="52" t="n">
        <x:f t="shared" ref="I75:I78" si="33">H75*G75/1000</x:f>
        <x:v>798.2786932771664</x:v>
      </x:c>
      <x:c r="J75" s="53" t="n">
        <x:f>$B$4/2-E75</x:f>
        <x:v>277</x:v>
      </x:c>
      <x:c r="K75" s="54" t="str">
        <x:f t="shared" ref="K75:K78" si="34">IF(F75&gt;=0,"Compresion","Traccion")</x:f>
        <x:v>Compresion</x:v>
      </x:c>
      <x:c r="L75" s="55" t="n">
        <x:f t="shared" ref="L75:L78" si="35">J75*I75</x:f>
        <x:v>221123.19803777512</x:v>
      </x:c>
    </x:row>
    <x:row r="76">
      <x:c r="A76" s="37" t="s">
        <x:v>77</x:v>
      </x:c>
      <x:c r="B76" s="56" t="n">
        <x:f>$D$20*$B$74/($B$74+0.005)</x:f>
        <x:v>235.125</x:v>
      </x:c>
      <x:c r="C76" s="45"/>
      <x:c r="D76" s="39" t="s">
        <x:v>54</x:v>
      </x:c>
      <x:c r="E76" s="57" t="n">
        <x:f>$D$17</x:f>
        <x:v>211.5</x:v>
      </x:c>
      <x:c r="F76" s="58" t="n">
        <x:f>$B$74*($B$76-E76)/$B$76</x:f>
        <x:v>0.0003014354066985646</x:v>
      </x:c>
      <x:c r="G76" s="59" t="n">
        <x:f t="shared" si="32">MAX(-$D$3,MIN($D$3,$D$4*1000*F76))</x:f>
        <x:v>63.301435406698566</x:v>
      </x:c>
      <x:c r="H76" s="60" t="n">
        <x:f>$B$14</x:f>
        <x:v>760.26542216873</x:v>
      </x:c>
      <x:c r="I76" s="55" t="n">
        <x:f t="shared" si="33">H76*G76/1000</x:f>
        <x:v>48.12589251336028</x:v>
      </x:c>
      <x:c r="J76" s="61" t="n">
        <x:f>$B$4/2-E76</x:f>
        <x:v>138.5</x:v>
      </x:c>
      <x:c r="K76" s="62" t="str">
        <x:f t="shared" si="34">IF(F76&gt;=0,"Compresion","Traccion")</x:f>
        <x:v>Compresion</x:v>
      </x:c>
      <x:c r="L76" s="55" t="n">
        <x:f t="shared" si="35">J76*I76</x:f>
        <x:v>6665.436113100398</x:v>
      </x:c>
    </x:row>
    <x:row r="77" ht="15.75" customHeight="1">
      <x:c r="A77" s="37" t="s">
        <x:v>78</x:v>
      </x:c>
      <x:c r="B77" s="63" t="n">
        <x:f>B76*$B$9</x:f>
        <x:v>188.1</x:v>
      </x:c>
      <x:c r="C77" s="45"/>
      <x:c r="D77" s="39" t="s">
        <x:v>56</x:v>
      </x:c>
      <x:c r="E77" s="57" t="n">
        <x:f>$D$18</x:f>
        <x:v>350</x:v>
      </x:c>
      <x:c r="F77" s="58" t="n">
        <x:f>$B$74*($B$76-E77)/$B$76</x:f>
        <x:v>-0.0014657097288676237</x:v>
      </x:c>
      <x:c r="G77" s="64" t="n">
        <x:f t="shared" si="32">MAX(-$D$3,MIN($D$3,$D$4*1000*F77))</x:f>
        <x:v>-307.799043062201</x:v>
      </x:c>
      <x:c r="H77" s="60" t="n">
        <x:f>$B$15</x:f>
        <x:v>760.26542216873</x:v>
      </x:c>
      <x:c r="I77" s="55" t="n">
        <x:f t="shared" si="33">H77*G77/1000</x:f>
        <x:v>-234.00896941681535</x:v>
      </x:c>
      <x:c r="J77" s="61" t="n">
        <x:f>$B$4/2-E77</x:f>
        <x:v>0</x:v>
      </x:c>
      <x:c r="K77" s="62" t="str">
        <x:f t="shared" si="34">IF(F77&gt;=0,"Compresion","Traccion")</x:f>
        <x:v>Traccion</x:v>
      </x:c>
      <x:c r="L77" s="55" t="n">
        <x:f t="shared" si="35">J77*I77</x:f>
        <x:v>0</x:v>
      </x:c>
    </x:row>
    <x:row r="78" ht="15.75" customHeight="1">
      <x:c r="A78" s="37" t="s">
        <x:v>79</x:v>
      </x:c>
      <x:c r="B78" s="63" t="n">
        <x:f>0.85*$B$7*$B$3*B77/1000</x:f>
        <x:v>3917.1825</x:v>
      </x:c>
      <x:c r="C78" s="45"/>
      <x:c r="D78" s="4" t="s">
        <x:v>57</x:v>
      </x:c>
      <x:c r="E78" s="5" t="n">
        <x:f>$D$19</x:f>
        <x:v>488.5</x:v>
      </x:c>
      <x:c r="F78" s="65" t="n">
        <x:f>$B$74*($B$76-E78)/$B$76</x:f>
        <x:v>-0.003232854864433812</x:v>
      </x:c>
      <x:c r="G78" s="66" t="n">
        <x:f t="shared" si="32">MAX(-$D$3,MIN($D$3,$D$4*1000*F78))</x:f>
        <x:v>-420</x:v>
      </x:c>
      <x:c r="H78" s="67" t="n">
        <x:f>$B$16</x:f>
        <x:v>760.26542216873</x:v>
      </x:c>
      <x:c r="I78" s="68" t="n">
        <x:f t="shared" si="33">H78*G78/1000</x:f>
        <x:v>-319.31147731086656</x:v>
      </x:c>
      <x:c r="J78" s="69" t="n">
        <x:f>$B$4/2-E78</x:f>
        <x:v>-138.5</x:v>
      </x:c>
      <x:c r="K78" s="70" t="str">
        <x:f t="shared" si="34">IF(F78&gt;=0,"Compresion","Traccion")</x:f>
        <x:v>Traccion</x:v>
      </x:c>
      <x:c r="L78" s="55" t="n">
        <x:f t="shared" si="35">J78*I78</x:f>
        <x:v>44224.63960755502</x:v>
      </x:c>
    </x:row>
    <x:row r="79">
      <x:c r="A79" s="45"/>
      <x:c r="B79" s="45"/>
      <x:c r="C79" s="45"/>
      <x:c r="D79" s="4" t="s">
        <x:v>58</x:v>
      </x:c>
      <x:c r="E79" s="19" t="n">
        <x:f>$D$20</x:f>
        <x:v>627</x:v>
      </x:c>
      <x:c r="F79" s="65" t="n">
        <x:f>$B$74*($B$76-E79)/$B$76</x:f>
        <x:v>-0.004999999999999999</x:v>
      </x:c>
      <x:c r="G79" s="66" t="n">
        <x:f t="shared" ref="G79" si="36">MAX(-$D$3,MIN($D$3,$D$4*1000*F79))</x:f>
        <x:v>-420</x:v>
      </x:c>
      <x:c r="H79" s="67" t="n">
        <x:f>$B$17</x:f>
        <x:v>1900.6635554218249</x:v>
      </x:c>
      <x:c r="I79" s="68" t="n">
        <x:f t="shared" ref="I79" si="37">H79*G79/1000</x:f>
        <x:v>-798.2786932771664</x:v>
      </x:c>
      <x:c r="J79" s="69" t="n">
        <x:f>$B$4/2-E79</x:f>
        <x:v>-277</x:v>
      </x:c>
      <x:c r="K79" s="70" t="str">
        <x:f t="shared" ref="K79" si="38">IF(F79&gt;=0,"Compresion","Traccion")</x:f>
        <x:v>Traccion</x:v>
      </x:c>
      <x:c r="L79" s="55" t="n">
        <x:f>J79*I79</x:f>
        <x:v>221123.19803777512</x:v>
      </x:c>
    </x:row>
    <x:row r="80">
      <x:c r="A80" s="37" t="str">
        <x:v>Pn [kN]</x:v>
      </x:c>
      <x:c r="B80" s="63" t="n">
        <x:f>B78+SUM(I75:I79)</x:f>
        <x:v>3411.987945785678</x:v>
      </x:c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</x:row>
    <x:row r="81">
      <x:c r="A81" s="37" t="str">
        <x:v>Mn [kN·m]</x:v>
      </x:c>
      <x:c r="B81" s="20" t="n">
        <x:f>(($B$4/2-B77/2)*B78+SUM(L75:L79))/1000</x:f>
        <x:v>1495.7393326712056</x:v>
      </x:c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</x:row>
    <x:row r="82">
      <x:c r="A82" s="13" t="str">
        <x:v>ΦPn [kN]</x:v>
      </x:c>
      <x:c r="B82" s="13" t="n">
        <x:f t="shared" ref="B82:B83" si="39">(0.90)*B80</x:f>
        <x:v>3070.7891512071105</x:v>
      </x:c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</x:row>
    <x:row r="83">
      <x:c r="A83" s="13" t="str">
        <x:v>ΦMn [kN·m]</x:v>
      </x:c>
      <x:c r="B83" s="71" t="n">
        <x:f t="shared" si="39">(0.90)*B81</x:f>
        <x:v>1346.165399404085</x:v>
      </x:c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</x:row>
    <x:row r="84"/>
    <x:row r="85"/>
    <x:row r="86">
      <x:c r="A86" s="45" t="s">
        <x:v>87</x:v>
      </x:c>
      <x:c r="B86" s="45"/>
      <x:c r="C86" s="45"/>
      <x:c r="D86" s="6" t="s">
        <x:v>88</x:v>
      </x:c>
      <x:c r="E86" s="138"/>
      <x:c r="F86" s="138"/>
      <x:c r="G86" s="138"/>
      <x:c r="H86" s="138"/>
      <x:c r="I86" s="138"/>
      <x:c r="J86" s="138"/>
      <x:c r="K86" s="138"/>
      <x:c r="L86" s="139"/>
    </x:row>
    <x:row r="87">
      <x:c r="A87" s="6" t="s">
        <x:v>73</x:v>
      </x:c>
      <x:c r="B87" s="20" t="n">
        <x:f>$B$10</x:f>
        <x:v>0.003</x:v>
      </x:c>
      <x:c r="C87" s="45"/>
      <x:c r="D87" s="3" t="s">
        <x:v>61</x:v>
      </x:c>
      <x:c r="E87" s="3" t="s">
        <x:v>74</x:v>
      </x:c>
      <x:c r="F87" s="46" t="s">
        <x:v>75</x:v>
      </x:c>
      <x:c r="G87" s="3" t="s">
        <x:v>63</x:v>
      </x:c>
      <x:c r="H87" s="3" t="s">
        <x:v>62</x:v>
      </x:c>
      <x:c r="I87" s="3" t="s">
        <x:v>64</x:v>
      </x:c>
      <x:c r="J87" s="46" t="s">
        <x:v>76</x:v>
      </x:c>
      <x:c r="K87" s="47" t="s">
        <x:v>65</x:v>
      </x:c>
      <x:c r="L87" s="48" t="str">
        <x:v>Momento respecto h/2 [kN·mm]</x:v>
      </x:c>
    </x:row>
    <x:row r="88">
      <x:c r="A88" s="6" t="str">
        <x:v>ε barra d5</x:v>
      </x:c>
      <x:c r="B88" s="20" t="n">
        <x:f>ABS(F92)</x:f>
        <x:v>0.017642799742456222</x:v>
      </x:c>
      <x:c r="C88" s="45"/>
      <x:c r="D88" s="3" t="s">
        <x:v>51</x:v>
      </x:c>
      <x:c r="E88" s="19" t="n">
        <x:f>$D$16</x:f>
        <x:v>73</x:v>
      </x:c>
      <x:c r="F88" s="49" t="n">
        <x:f>$B$87*($B$89-E88)/$B$89</x:f>
        <x:v>0.0005966118322180159</x:v>
      </x:c>
      <x:c r="G88" s="50" t="n">
        <x:f t="shared" ref="G88:G91" si="40">MAX(-$D$3,MIN($D$3,$D$4*1000*F88))</x:f>
        <x:v>125.28848476578334</x:v>
      </x:c>
      <x:c r="H88" s="51" t="n">
        <x:f>$B$13</x:f>
        <x:v>1900.6635554218249</x:v>
      </x:c>
      <x:c r="I88" s="52" t="n">
        <x:f t="shared" ref="I88:I91" si="41">H88*G88/1000</x:f>
        <x:v>238.1312569083469</x:v>
      </x:c>
      <x:c r="J88" s="53" t="n">
        <x:f>$B$4/2-E88</x:f>
        <x:v>277</x:v>
      </x:c>
      <x:c r="K88" s="54" t="str">
        <x:f t="shared" ref="K88:K91" si="42">IF(F88&gt;=0,"Compresion","Traccion")</x:f>
        <x:v>Compresion</x:v>
      </x:c>
      <x:c r="L88" s="55" t="n">
        <x:f t="shared" ref="L88:L91" si="43">J88*I88</x:f>
        <x:v>65962.3581636121</x:v>
      </x:c>
    </x:row>
    <x:row r="89">
      <x:c r="A89" s="37" t="s">
        <x:v>77</x:v>
      </x:c>
      <x:c r="B89" s="63" t="n">
        <x:f>(-($B$13*$D$4*1000*$B$87-($B$18-$B$13)*$D$3)+SQRT(($B$13*$D$4*1000*$B$87-($B$18-$B$13)*$D$3)^2+4*(0.85*$B$7*$B$3*$B$9)*($B$13*$D$4*1000*$B$87)*$D$16))/(2*(0.85*$B$7*$B$3*$B$9))</x:f>
        <x:v>91.12136064234211</x:v>
      </x:c>
      <x:c r="C89" s="45"/>
      <x:c r="D89" s="39" t="s">
        <x:v>54</x:v>
      </x:c>
      <x:c r="E89" s="57" t="n">
        <x:f>$D$17</x:f>
        <x:v>211.5</x:v>
      </x:c>
      <x:c r="F89" s="58" t="n">
        <x:f>$B$87*($B$89-E89)/$B$89</x:f>
        <x:v>-0.003963241061450543</x:v>
      </x:c>
      <x:c r="G89" s="59" t="n">
        <x:f t="shared" si="40">MAX(-$D$3,MIN($D$3,$D$4*1000*F89))</x:f>
        <x:v>-420</x:v>
      </x:c>
      <x:c r="H89" s="60" t="n">
        <x:f>$B$14</x:f>
        <x:v>760.26542216873</x:v>
      </x:c>
      <x:c r="I89" s="55" t="n">
        <x:f t="shared" si="41">H89*G89/1000</x:f>
        <x:v>-319.31147731086656</x:v>
      </x:c>
      <x:c r="J89" s="61" t="n">
        <x:f>$B$4/2-E89</x:f>
        <x:v>138.5</x:v>
      </x:c>
      <x:c r="K89" s="62" t="str">
        <x:f t="shared" si="42">IF(F89&gt;=0,"Compresion","Traccion")</x:f>
        <x:v>Traccion</x:v>
      </x:c>
      <x:c r="L89" s="55" t="n">
        <x:f t="shared" si="43">J89*I89</x:f>
        <x:v>-44224.63960755502</x:v>
      </x:c>
    </x:row>
    <x:row r="90" ht="15.75" customHeight="1">
      <x:c r="A90" s="37" t="s">
        <x:v>78</x:v>
      </x:c>
      <x:c r="B90" s="63" t="n">
        <x:f>B89*$B$9</x:f>
        <x:v>72.89708851387368</x:v>
      </x:c>
      <x:c r="C90" s="45"/>
      <x:c r="D90" s="39" t="s">
        <x:v>56</x:v>
      </x:c>
      <x:c r="E90" s="57" t="n">
        <x:f>$D$18</x:f>
        <x:v>350</x:v>
      </x:c>
      <x:c r="F90" s="58" t="n">
        <x:f>$B$87*($B$89-E90)/$B$89</x:f>
        <x:v>-0.008523093955119103</x:v>
      </x:c>
      <x:c r="G90" s="64" t="n">
        <x:f t="shared" si="40">MAX(-$D$3,MIN($D$3,$D$4*1000*F90))</x:f>
        <x:v>-420</x:v>
      </x:c>
      <x:c r="H90" s="60" t="n">
        <x:f>$B$15</x:f>
        <x:v>760.26542216873</x:v>
      </x:c>
      <x:c r="I90" s="55" t="n">
        <x:f t="shared" si="41">H90*G90/1000</x:f>
        <x:v>-319.31147731086656</x:v>
      </x:c>
      <x:c r="J90" s="61" t="n">
        <x:f>$B$4/2-E90</x:f>
        <x:v>0</x:v>
      </x:c>
      <x:c r="K90" s="62" t="str">
        <x:f t="shared" si="42">IF(F90&gt;=0,"Compresion","Traccion")</x:f>
        <x:v>Traccion</x:v>
      </x:c>
      <x:c r="L90" s="55" t="n">
        <x:f t="shared" si="43">J90*I90</x:f>
        <x:v>0</x:v>
      </x:c>
    </x:row>
    <x:row r="91">
      <x:c r="A91" s="37" t="s">
        <x:v>79</x:v>
      </x:c>
      <x:c r="B91" s="63" t="n">
        <x:f>0.85*$B$7*$B$3*B90/1000</x:f>
        <x:v>1518.0818683014195</x:v>
      </x:c>
      <x:c r="C91" s="45"/>
      <x:c r="D91" s="4" t="s">
        <x:v>57</x:v>
      </x:c>
      <x:c r="E91" s="5" t="n">
        <x:f>$D$19</x:f>
        <x:v>488.5</x:v>
      </x:c>
      <x:c r="F91" s="65" t="n">
        <x:f>$B$87*($B$89-E91)/$B$89</x:f>
        <x:v>-0.013082946848787661</x:v>
      </x:c>
      <x:c r="G91" s="66" t="n">
        <x:f t="shared" si="40">MAX(-$D$3,MIN($D$3,$D$4*1000*F91))</x:f>
        <x:v>-420</x:v>
      </x:c>
      <x:c r="H91" s="67" t="n">
        <x:f>$B$16</x:f>
        <x:v>760.26542216873</x:v>
      </x:c>
      <x:c r="I91" s="68" t="n">
        <x:f t="shared" si="41">H91*G91/1000</x:f>
        <x:v>-319.31147731086656</x:v>
      </x:c>
      <x:c r="J91" s="69" t="n">
        <x:f>$B$4/2-E91</x:f>
        <x:v>-138.5</x:v>
      </x:c>
      <x:c r="K91" s="70" t="str">
        <x:f t="shared" si="42">IF(F91&gt;=0,"Compresion","Traccion")</x:f>
        <x:v>Traccion</x:v>
      </x:c>
      <x:c r="L91" s="55" t="n">
        <x:f t="shared" si="43">J91*I91</x:f>
        <x:v>44224.63960755502</x:v>
      </x:c>
    </x:row>
    <x:row r="92">
      <x:c r="A92" s="45"/>
      <x:c r="B92" s="45"/>
      <x:c r="C92" s="45"/>
      <x:c r="D92" s="4" t="str">
        <x:v>d5 [mm]</x:v>
      </x:c>
      <x:c r="E92" s="19" t="n">
        <x:f>$D$20</x:f>
        <x:v>627</x:v>
      </x:c>
      <x:c r="F92" s="65" t="n">
        <x:f>$B$87*($B$89-E92)/$B$89</x:f>
        <x:v>-0.017642799742456222</x:v>
      </x:c>
      <x:c r="G92" s="66" t="n">
        <x:f t="shared" ref="G92" si="44">MAX(-$D$3,MIN($D$3,$D$4*1000*F92))</x:f>
        <x:v>-420</x:v>
      </x:c>
      <x:c r="H92" s="67" t="n">
        <x:f>$B$17</x:f>
        <x:v>1900.6635554218249</x:v>
      </x:c>
      <x:c r="I92" s="68" t="n">
        <x:f t="shared" ref="I92" si="45">H92*G92/1000</x:f>
        <x:v>-798.2786932771664</x:v>
      </x:c>
      <x:c r="J92" s="69" t="n">
        <x:f>$B$4/2-E92</x:f>
        <x:v>-277</x:v>
      </x:c>
      <x:c r="K92" s="70" t="str">
        <x:f t="shared" ref="K92" si="46">IF(F92&gt;=0,"Compresion","Traccion")</x:f>
        <x:v>Traccion</x:v>
      </x:c>
      <x:c r="L92" s="55" t="n">
        <x:f t="shared" ref="L92" si="47">J92*I92</x:f>
        <x:v>221123.19803777512</x:v>
      </x:c>
    </x:row>
    <x:row r="93">
      <x:c r="A93" s="37" t="str">
        <x:v>Pn [kN]</x:v>
      </x:c>
      <x:c r="B93" s="63" t="n">
        <x:f>B91+SUM(I88:I92)</x:f>
        <x:v>2.2737367544323206e-13</x:v>
      </x:c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</x:row>
    <x:row r="94">
      <x:c r="A94" s="37" t="str">
        <x:v>Mn [kN·m]</x:v>
      </x:c>
      <x:c r="B94" s="20" t="n">
        <x:f>(($B$4/2-B90/2)*B91+SUM(L88:L92))/1000</x:f>
        <x:v>763.0823359444464</x:v>
      </x:c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</x:row>
    <x:row r="95">
      <x:c r="A95" s="13" t="str">
        <x:v>ΦPn [kN]</x:v>
      </x:c>
      <x:c r="B95" s="13" t="n">
        <x:f t="shared" ref="B95:B96" si="48">(0.90)*B93</x:f>
        <x:v>2.0463630789890886e-13</x:v>
      </x:c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</x:row>
    <x:row r="96">
      <x:c r="A96" s="13" t="str">
        <x:v>ΦMn [kN·m]</x:v>
      </x:c>
      <x:c r="B96" s="71" t="n">
        <x:f t="shared" si="48">(0.90)*B94</x:f>
        <x:v>686.7741023500018</x:v>
      </x:c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</x:row>
    <x:row r="98" ht="15.75" customHeight="1">
      <x:c r="A98" s="6" t="s">
        <x:v>89</x:v>
      </x:c>
      <x:c r="B98" s="138"/>
      <x:c r="C98" s="138"/>
      <x:c r="D98" s="138"/>
      <x:c r="E98" s="139"/>
      <x:c r="G98" s="37" t="s">
        <x:v>60</x:v>
      </x:c>
      <x:c r="H98" s="139"/>
    </x:row>
    <x:row r="99" ht="15.75" customHeight="1">
      <x:c r="A99" s="13" t="s">
        <x:v>61</x:v>
      </x:c>
      <x:c r="B99" s="13" t="s">
        <x:v>62</x:v>
      </x:c>
      <x:c r="C99" s="13" t="s">
        <x:v>63</x:v>
      </x:c>
      <x:c r="D99" s="13" t="s">
        <x:v>64</x:v>
      </x:c>
      <x:c r="E99" s="20" t="s">
        <x:v>65</x:v>
      </x:c>
      <x:c r="G99" s="13" t="s">
        <x:v>66</x:v>
      </x:c>
      <x:c r="H99" s="13" t="n">
        <x:f>D100</x:f>
        <x:v>-2554.4918184869325</x:v>
      </x:c>
    </x:row>
    <x:row r="100" ht="15.75" customHeight="1">
      <x:c r="A100" s="38" t="str">
        <x:v>Total</x:v>
      </x:c>
      <x:c r="B100" s="39" t="n">
        <x:f>$B$18</x:f>
        <x:v>6082.12337734984</x:v>
      </x:c>
      <x:c r="C100" s="38" t="n">
        <x:f>-$D$3</x:f>
        <x:v>-420</x:v>
      </x:c>
      <x:c r="D100" s="39" t="n">
        <x:f>B100*C100/1000</x:f>
        <x:v>-2554.4918184869325</x:v>
      </x:c>
      <x:c r="E100" s="40" t="str">
        <x:f>IF(C100&gt;=0,"Compresion","Traccion")</x:f>
        <x:v>Traccion</x:v>
      </x:c>
      <x:c r="G100" s="13" t="s">
        <x:v>68</x:v>
      </x:c>
      <x:c r="H100" s="13" t="n">
        <x:f>0.90*H99</x:f>
        <x:v>-2299.0426366382394</x:v>
      </x:c>
    </x:row>
    <x:row r="101" ht="15.75" customHeight="1">
      <x:c r="A101" s="38"/>
      <x:c r="B101" s="39"/>
      <x:c r="C101" s="38"/>
      <x:c r="D101" s="39"/>
      <x:c r="E101" s="40"/>
      <x:c r="G101" s="13" t="s">
        <x:v>69</x:v>
      </x:c>
      <x:c r="H101" s="13" t="n">
        <x:f>0</x:f>
        <x:v>0</x:v>
      </x:c>
    </x:row>
    <x:row r="102" ht="15.75" customHeight="1">
      <x:c r="A102" s="38"/>
      <x:c r="B102" s="39"/>
      <x:c r="C102" s="38"/>
      <x:c r="D102" s="39"/>
      <x:c r="E102" s="40"/>
      <x:c r="G102" s="13" t="s">
        <x:v>70</x:v>
      </x:c>
      <x:c r="H102" s="13" t="n">
        <x:f>0</x:f>
        <x:v>0</x:v>
      </x:c>
    </x:row>
    <x:row r="104">
      <x:c r="K104" t="str">
        <x:v>Mn [kN·m]</x:v>
      </x:c>
      <x:c r="L104" t="str">
        <x:v>Pn [kN]</x:v>
      </x:c>
    </x:row>
    <x:row r="105">
      <x:c r="K105" t="n">
        <x:f>H3</x:f>
        <x:v>0</x:v>
      </x:c>
      <x:c r="L105" t="n">
        <x:f>G3</x:f>
        <x:v>13560.83891840862</x:v>
      </x:c>
    </x:row>
    <x:row r="106">
      <x:c r="K106" t="n">
        <x:f>H4</x:f>
        <x:v>1027.0546132158543</x:v>
      </x:c>
      <x:c r="L106" t="n">
        <x:f>G4</x:f>
        <x:v>13288.663897272214</x:v>
      </x:c>
    </x:row>
    <x:row r="107">
      <x:c r="K107" t="n">
        <x:f>H5</x:f>
        <x:v>1741.580997887212</x:v>
      </x:c>
      <x:c r="L107" t="n">
        <x:f>G5</x:f>
        <x:v>6367.563300305559</x:v>
      </x:c>
    </x:row>
    <x:row r="108">
      <x:c r="K108" t="n">
        <x:f>H6</x:f>
        <x:v>1673.9254996415443</x:v>
      </x:c>
      <x:c r="L108" t="n">
        <x:f>G6</x:f>
        <x:v>5055.615230786891</x:v>
      </x:c>
    </x:row>
    <x:row r="109">
      <x:c r="K109" t="n">
        <x:f>H7</x:f>
        <x:v>1495.7393326712056</x:v>
      </x:c>
      <x:c r="L109" t="n">
        <x:f>G7</x:f>
        <x:v>3411.987945785678</x:v>
      </x:c>
    </x:row>
    <x:row r="110">
      <x:c r="K110" t="n">
        <x:f>H8</x:f>
        <x:v>763.0823359444464</x:v>
      </x:c>
      <x:c r="L110" t="n">
        <x:f>G8</x:f>
        <x:v>2.2737367544323206e-13</x:v>
      </x:c>
    </x:row>
    <x:row r="111">
      <x:c r="K111" t="n">
        <x:f>H9</x:f>
        <x:v>0</x:v>
      </x:c>
      <x:c r="L111" t="n">
        <x:f>G9</x:f>
        <x:v>-2554.4918184869325</x:v>
      </x:c>
    </x:row>
    <x:row r="112">
      <x:c r="K112" t="n">
        <x:f>H10</x:f>
        <x:v>0</x:v>
      </x:c>
      <x:c r="L112" t="n">
        <x:f>G10</x:f>
        <x:v>13560.83891840862</x:v>
      </x:c>
    </x:row>
    <x:row r="113">
      <x:c r="K113" t="n">
        <x:f>H11</x:f>
        <x:v>-1027.0546132158543</x:v>
      </x:c>
      <x:c r="L113" t="n">
        <x:f>G11</x:f>
        <x:v>13288.663897272214</x:v>
      </x:c>
    </x:row>
    <x:row r="114">
      <x:c r="K114" t="n">
        <x:f>H12</x:f>
        <x:v>-1741.580997887212</x:v>
      </x:c>
      <x:c r="L114" t="n">
        <x:f>G12</x:f>
        <x:v>6367.563300305559</x:v>
      </x:c>
    </x:row>
    <x:row r="115">
      <x:c r="K115" t="n">
        <x:f>H13</x:f>
        <x:v>-1673.9254996415443</x:v>
      </x:c>
      <x:c r="L115" t="n">
        <x:f>G13</x:f>
        <x:v>5055.615230786891</x:v>
      </x:c>
    </x:row>
    <x:row r="116">
      <x:c r="K116" t="n">
        <x:f>H14</x:f>
        <x:v>-1495.7393326712056</x:v>
      </x:c>
      <x:c r="L116" t="n">
        <x:f>G14</x:f>
        <x:v>3411.987945785678</x:v>
      </x:c>
    </x:row>
    <x:row r="117">
      <x:c r="K117" t="n">
        <x:f>H15</x:f>
        <x:v>-763.0823359444464</x:v>
      </x:c>
      <x:c r="L117" t="n">
        <x:f>G15</x:f>
        <x:v>2.2737367544323206e-13</x:v>
      </x:c>
    </x:row>
    <x:row r="118">
      <x:c r="K118" t="n">
        <x:f>H16</x:f>
        <x:v>0</x:v>
      </x:c>
      <x:c r="L118" t="n">
        <x:f>G16</x:f>
        <x:v>-2554.4918184869325</x:v>
      </x:c>
    </x:row>
  </x:sheetData>
  <x:mergeCells>
    <x:mergeCell ref="D60:L60"/>
    <x:mergeCell ref="A1:D1"/>
    <x:mergeCell ref="A2:B2"/>
    <x:mergeCell ref="C2:D2"/>
    <x:mergeCell ref="A6:B6"/>
    <x:mergeCell ref="A11:B11"/>
    <x:mergeCell ref="A24:E24"/>
    <x:mergeCell ref="G24:H24"/>
    <x:mergeCell ref="D34:L34"/>
    <x:mergeCell ref="D47:L47"/>
  </x:mergeCells>
  <x:pageMargins left="0.7" right="0.7" top="0.75" bottom="0.75" header="0.3" footer="0.3"/>
  <x:drawing xmlns:r="http://schemas.openxmlformats.org/officeDocument/2006/relationships" r:id="Rafacb9373d414145"/>
</x:worksheet>
</file>

<file path=xl/worksheets/sheet2.xml><?xml version="1.0" encoding="utf-8"?>
<x:worksheet xmlns:x="http://schemas.openxmlformats.org/spreadsheetml/2006/main">
  <x:sheetFormatPr baseColWidth="10" defaultColWidth="12.5703125" defaultRowHeight="15.75"/>
  <x:cols>
    <x:col min="5" max="5" width="12.85546875" customWidth="1"/>
  </x:cols>
  <x:sheetData>
    <x:row r="1">
      <x:c r="A1" s="144" t="s">
        <x:v>0</x:v>
      </x:c>
      <x:c r="B1" s="145"/>
      <x:c r="C1" s="145"/>
      <x:c r="D1" s="146"/>
    </x:row>
    <x:row r="2">
      <x:c r="A2" s="147" t="s">
        <x:v>1</x:v>
      </x:c>
      <x:c r="B2" s="146"/>
      <x:c r="C2" s="147" t="s">
        <x:v>2</x:v>
      </x:c>
      <x:c r="D2" s="156"/>
      <x:c r="F2" s="153" t="s">
        <x:v>90</x:v>
      </x:c>
      <x:c r="G2" s="154"/>
      <x:c r="H2" s="155"/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F3" s="150" t="s">
        <x:v>91</x:v>
      </x:c>
      <x:c r="G3" s="141"/>
      <x:c r="H3" s="75" t="n">
        <x:f>$B$10*$B$7*($B$16-$B$21)/1000</x:f>
        <x:v>13269.641881045754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F4" s="150" t="s">
        <x:v>92</x:v>
      </x:c>
      <x:c r="G4" s="141"/>
      <x:c r="H4" s="75" t="n">
        <x:f>0</x:f>
        <x:v>0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  <x:c r="F5" s="150" t="s">
        <x:v>93</x:v>
      </x:c>
      <x:c r="G5" s="141"/>
      <x:c r="H5" s="75" t="n">
        <x:f>$D$3*$B$21/1000</x:f>
        <x:v>1013.3521263419237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0" t="s">
        <x:v>94</x:v>
      </x:c>
      <x:c r="G6" s="141"/>
      <x:c r="H6" s="75" t="n">
        <x:f>SUM(H3:H5)</x:f>
        <x:v>14282.994007387679</x:v>
      </x:c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1" t="s">
        <x:v>95</x:v>
      </x:c>
      <x:c r="G7" s="152"/>
      <x:c r="H7" s="76">
        <x:v>0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3" t="s">
        <x:v>99</x:v>
      </x:c>
      <x:c r="G10" s="154"/>
      <x:c r="H10" s="155"/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0" t="s">
        <x:v>91</x:v>
      </x:c>
      <x:c r="G11" s="141"/>
      <x:c r="H11" s="75" t="n">
        <x:f t="shared" ref="H11:H12" si="0">0</x:f>
        <x:v>0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0" t="s">
        <x:v>92</x:v>
      </x:c>
      <x:c r="G12" s="141"/>
      <x:c r="H12" s="75">
        <x:f t="shared" si="0"/>
        <x:v>0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0" t="s">
        <x:v>93</x:v>
      </x:c>
      <x:c r="G13" s="141"/>
      <x:c r="H13" s="75" t="n">
        <x:f>-$D$3*$B$21/1000</x:f>
        <x:v>-1013.3521263419237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0" t="s">
        <x:v>94</x:v>
      </x:c>
      <x:c r="G14" s="141"/>
      <x:c r="H14" s="75" t="n">
        <x:f>SUM(H11:H13)</x:f>
        <x:v>-1013.3521263419237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  <x:c r="F15" s="151" t="s">
        <x:v>95</x:v>
      </x:c>
      <x:c r="G15" s="152"/>
      <x:c r="H15" s="76" t="n">
        <x:f>0</x:f>
        <x:v>0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1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1"/>
        <x:v>402.12385965949352</x:v>
      </x:c>
    </x:row>
    <x:row r="19">
      <x:c r="A19" s="6" t="s">
        <x:v>47</x:v>
      </x:c>
      <x:c r="B19" s="33">
        <x:f t="shared" si="1"/>
        <x:v>402.12385965949352</x:v>
      </x:c>
    </x:row>
    <x:row r="20">
      <x:c r="A20" s="6" t="s">
        <x:v>50</x:v>
      </x:c>
      <x:c r="B20" s="33">
        <x:f t="shared" si="1"/>
        <x:v>804.24771931898704</x:v>
      </x:c>
      <x:c r="D20" s="72" t="s">
        <x:v>103</x:v>
      </x:c>
      <x:c r="E20" s="83" t="s">
        <x:v>67</x:v>
      </x:c>
      <x:c r="F20" s="83" t="s">
        <x:v>69</x:v>
      </x:c>
      <x:c r="G20" s="83" t="s">
        <x:v>68</x:v>
      </x:c>
      <x:c r="H20" s="84" t="s">
        <x:v>70</x:v>
      </x:c>
    </x:row>
    <x:row r="21">
      <x:c r="A21" s="6" t="s">
        <x:v>55</x:v>
      </x:c>
      <x:c r="B21" s="33" t="n">
        <x:f>B17+B18+B19+B20</x:f>
        <x:v>2412.743157956961</x:v>
      </x:c>
      <x:c r="D21" s="85" t="s">
        <x:v>5</x:v>
      </x:c>
      <x:c r="E21" s="86" t="n">
        <x:f>H6</x:f>
        <x:v>14282.994007387679</x:v>
      </x:c>
      <x:c r="F21" s="86" t="n">
        <x:f>H7</x:f>
        <x:v>0</x:v>
      </x:c>
      <x:c r="G21" s="86" t="n">
        <x:f t="shared" ref="G21:H21" si="2">E21*0.65</x:f>
        <x:v>9283.946104801991</x:v>
      </x:c>
      <x:c r="H21" s="87">
        <x:f t="shared" si="2"/>
        <x:v>0</x:v>
      </x:c>
    </x:row>
    <x:row r="22">
      <x:c r="D22" s="85" t="s">
        <x:v>9</x:v>
      </x:c>
      <x:c r="E22" s="88" t="n">
        <x:f>'Pregunta 3.B'!H10</x:f>
        <x:v>9532.95599377676</x:v>
      </x:c>
      <x:c r="F22" s="89" t="n">
        <x:f>'Pregunta 3.B'!H14</x:f>
        <x:v>476.7091359226381</x:v>
      </x:c>
      <x:c r="G22" s="86" t="n">
        <x:f t="shared" ref="G22:H22" si="3">E22*0.65</x:f>
        <x:v>6196.421395954895</x:v>
      </x:c>
      <x:c r="H22" s="87">
        <x:f t="shared" si="3"/>
        <x:v>309.86093834971479</x:v>
      </x:c>
    </x:row>
    <x:row r="23">
      <x:c r="D23" s="85" t="s">
        <x:v>14</x:v>
      </x:c>
      <x:c r="E23" s="88" t="n">
        <x:f>'Pregunta 3.C'!H10</x:f>
        <x:v>4448.10084891286</x:v>
      </x:c>
      <x:c r="F23" s="89" t="n">
        <x:f>'Pregunta 3.C'!H14</x:f>
        <x:v>651.9868501416562</x:v>
      </x:c>
      <x:c r="G23" s="86" t="n">
        <x:f t="shared" ref="G23:H23" si="4">E23*(0.65+0.25/0.003*(0.001))</x:f>
        <x:v>3261.9406225360976</x:v>
      </x:c>
      <x:c r="H23" s="87">
        <x:f t="shared" si="4"/>
        <x:v>478.12369010388124</x:v>
      </x:c>
    </x:row>
    <x:row r="24">
      <x:c r="D24" s="85" t="s">
        <x:v>19</x:v>
      </x:c>
      <x:c r="E24" s="88" t="n">
        <x:f>'Pregunta 3.D'!H10</x:f>
        <x:v>3514.0897863884447</x:v>
      </x:c>
      <x:c r="F24" s="89" t="n">
        <x:f>'Pregunta 3.D'!H14</x:f>
        <x:v>617.5446628552057</x:v>
      </x:c>
      <x:c r="G24" s="86" t="n">
        <x:f t="shared" ref="G24:H24" si="5">E24*0.65</x:f>
        <x:v>2284.1583611524893</x:v>
      </x:c>
      <x:c r="H24" s="87">
        <x:f t="shared" si="5"/>
        <x:v>401.40403085588372</x:v>
      </x:c>
    </x:row>
    <x:row r="25">
      <x:c r="D25" s="85" t="s">
        <x:v>23</x:v>
      </x:c>
      <x:c r="E25" s="88" t="n">
        <x:f>'Pregunta 3.E'!H10</x:f>
        <x:v>2482.326803823277</x:v>
      </x:c>
      <x:c r="F25" s="89" t="n">
        <x:f>'Pregunta 3.E'!H14</x:f>
        <x:v>516.6458336891046</x:v>
      </x:c>
      <x:c r="G25" s="86" t="n">
        <x:f t="shared" ref="G25:H25" si="6">E25*0.9</x:f>
        <x:v>2234.0941234409493</x:v>
      </x:c>
      <x:c r="H25" s="87">
        <x:f t="shared" si="6"/>
        <x:v>464.98125032019419</x:v>
      </x:c>
    </x:row>
    <x:row r="26">
      <x:c r="D26" s="85" t="s">
        <x:v>27</x:v>
      </x:c>
      <x:c r="E26" s="90" t="n">
        <x:f>'Pregunta 3.F'!H10</x:f>
        <x:v>-2.3696509288129164e-7</x:v>
      </x:c>
      <x:c r="F26" s="89" t="n">
        <x:f>'Pregunta 3.F'!H14</x:f>
        <x:v>163.6926242564477</x:v>
      </x:c>
      <x:c r="G26" s="86" t="n">
        <x:f t="shared" ref="G26:H26" si="7">E26*0.9</x:f>
        <x:v>-2.1326858359316248e-7</x:v>
      </x:c>
      <x:c r="H26" s="87">
        <x:f t="shared" si="7"/>
        <x:v>147.32336183080292</x:v>
      </x:c>
    </x:row>
    <x:row r="27">
      <x:c r="D27" s="85" t="s">
        <x:v>31</x:v>
      </x:c>
      <x:c r="E27" s="86" t="n">
        <x:f>H14</x:f>
        <x:v>-1013.3521263419237</x:v>
      </x:c>
      <x:c r="F27" s="86" t="n">
        <x:f>H15</x:f>
        <x:v>0</x:v>
      </x:c>
      <x:c r="G27" s="86" t="n">
        <x:f t="shared" ref="G27:H27" si="8">E27*0.9</x:f>
        <x:v>-912.0169137077314</x:v>
      </x:c>
      <x:c r="H27" s="87">
        <x:f t="shared" si="8"/>
        <x:v>0</x:v>
      </x:c>
    </x:row>
    <x:row r="28">
      <x:c r="D28" s="91" t="s">
        <x:v>34</x:v>
      </x:c>
      <x:c r="E28" s="92" t="n">
        <x:f t="shared" ref="E28:E34" si="9">E21</x:f>
        <x:v>14282.994007387679</x:v>
      </x:c>
      <x:c r="F28" s="92" t="n">
        <x:f t="shared" ref="F28:F34" si="10">-F21</x:f>
        <x:v>0</x:v>
      </x:c>
      <x:c r="G28" s="92" t="n">
        <x:f t="shared" ref="G28:H28" si="11">E28*0.65</x:f>
        <x:v>9283.946104801991</x:v>
      </x:c>
      <x:c r="H28" s="93">
        <x:f t="shared" si="11"/>
        <x:v>0</x:v>
      </x:c>
    </x:row>
    <x:row r="29">
      <x:c r="D29" s="91" t="s">
        <x:v>37</x:v>
      </x:c>
      <x:c r="E29" s="94">
        <x:f t="shared" si="9"/>
        <x:v>9532.9559937767608</x:v>
      </x:c>
      <x:c r="F29" s="95">
        <x:f t="shared" si="10"/>
        <x:v>-476.7091359226381</x:v>
      </x:c>
      <x:c r="G29" s="92" t="n">
        <x:f t="shared" ref="G29:H29" si="12">E29*0.65</x:f>
        <x:v>6196.421395954895</x:v>
      </x:c>
      <x:c r="H29" s="93">
        <x:f t="shared" si="12"/>
        <x:v>-309.86093834971479</x:v>
      </x:c>
    </x:row>
    <x:row r="30">
      <x:c r="D30" s="91" t="s">
        <x:v>40</x:v>
      </x:c>
      <x:c r="E30" s="94">
        <x:f t="shared" si="9"/>
        <x:v>4448.1008489128599</x:v>
      </x:c>
      <x:c r="F30" s="95">
        <x:f t="shared" si="10"/>
        <x:v>-651.98685014165619</x:v>
      </x:c>
      <x:c r="G30" s="92" t="n">
        <x:f t="shared" ref="G30:H30" si="13">E30*(0.65+0.25/0.003*(0.001))</x:f>
        <x:v>3261.9406225360976</x:v>
      </x:c>
      <x:c r="H30" s="93">
        <x:f t="shared" si="13"/>
        <x:v>-478.12369010388124</x:v>
      </x:c>
    </x:row>
    <x:row r="31">
      <x:c r="D31" s="91" t="s">
        <x:v>43</x:v>
      </x:c>
      <x:c r="E31" s="94">
        <x:f t="shared" si="9"/>
        <x:v>3514.0897863884447</x:v>
      </x:c>
      <x:c r="F31" s="95">
        <x:f t="shared" si="10"/>
        <x:v>-617.54466285520573</x:v>
      </x:c>
      <x:c r="G31" s="92" t="n">
        <x:f t="shared" ref="G31:H31" si="14">E31*0.65</x:f>
        <x:v>2284.1583611524893</x:v>
      </x:c>
      <x:c r="H31" s="93">
        <x:f t="shared" si="14"/>
        <x:v>-401.40403085588372</x:v>
      </x:c>
    </x:row>
    <x:row r="32">
      <x:c r="D32" s="91" t="s">
        <x:v>46</x:v>
      </x:c>
      <x:c r="E32" s="94">
        <x:f t="shared" si="9"/>
        <x:v>2482.3268038232768</x:v>
      </x:c>
      <x:c r="F32" s="95">
        <x:f t="shared" si="10"/>
        <x:v>-516.64583368910462</x:v>
      </x:c>
      <x:c r="G32" s="92" t="n">
        <x:f t="shared" ref="G32:H32" si="15">E32*0.9</x:f>
        <x:v>2234.0941234409493</x:v>
      </x:c>
      <x:c r="H32" s="93">
        <x:f t="shared" si="15"/>
        <x:v>-464.98125032019419</x:v>
      </x:c>
    </x:row>
    <x:row r="33">
      <x:c r="D33" s="91" t="s">
        <x:v>49</x:v>
      </x:c>
      <x:c r="E33" s="96">
        <x:f t="shared" si="9"/>
        <x:v>-2.3696509288129164E-7</x:v>
      </x:c>
      <x:c r="F33" s="95">
        <x:f t="shared" si="10"/>
        <x:v>-163.69262425644769</x:v>
      </x:c>
      <x:c r="G33" s="96" t="n">
        <x:f t="shared" ref="G33:H33" si="16">E33*0.9</x:f>
        <x:v>-2.1326858359316248e-7</x:v>
      </x:c>
      <x:c r="H33" s="93">
        <x:f t="shared" si="16"/>
        <x:v>-147.32336183080292</x:v>
      </x:c>
    </x:row>
    <x:row r="34">
      <x:c r="D34" s="97" t="s">
        <x:v>52</x:v>
      </x:c>
      <x:c r="E34" s="98">
        <x:f t="shared" si="9"/>
        <x:v>-1013.3521263419237</x:v>
      </x:c>
      <x:c r="F34" s="98">
        <x:f t="shared" si="10"/>
        <x:v>0</x:v>
      </x:c>
      <x:c r="G34" s="98" t="n">
        <x:f t="shared" ref="G34:H34" si="17">E34*0.9</x:f>
        <x:v>-912.0169137077314</x:v>
      </x:c>
      <x:c r="H34" s="99">
        <x:f t="shared" si="17"/>
        <x:v>0</x:v>
      </x:c>
    </x:row>
  </x:sheetData>
  <x:mergeCells>
    <x:mergeCell ref="A1:D1"/>
    <x:mergeCell ref="A2:B2"/>
    <x:mergeCell ref="C2:D2"/>
    <x:mergeCell ref="F2:H2"/>
    <x:mergeCell ref="F3:G3"/>
    <x:mergeCell ref="F4:G4"/>
    <x:mergeCell ref="A6:B6"/>
    <x:mergeCell ref="F14:G14"/>
    <x:mergeCell ref="A15:B15"/>
    <x:mergeCell ref="F15:G15"/>
    <x:mergeCell ref="F5:G5"/>
    <x:mergeCell ref="F6:G6"/>
    <x:mergeCell ref="F7:G7"/>
    <x:mergeCell ref="F10:H10"/>
    <x:mergeCell ref="F11:G11"/>
    <x:mergeCell ref="F12:G12"/>
    <x:mergeCell ref="F13:G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5703125" defaultRowHeight="15.75"/>
  <x:cols>
    <x:col min="10" max="10" width="16.7109375" customWidth="1"/>
    <x:col min="20" max="20" width="16.28515625" customWidth="1"/>
  </x:cols>
  <x:sheetData>
    <x:row r="1">
      <x:c r="A1" s="144" t="s">
        <x:v>0</x:v>
      </x:c>
      <x:c r="B1" s="145"/>
      <x:c r="C1" s="145"/>
      <x:c r="D1" s="145"/>
      <x:c r="E1" s="145"/>
      <x:c r="F1" s="145"/>
      <x:c r="G1" s="146"/>
    </x:row>
    <x:row r="2">
      <x:c r="A2" s="147" t="s">
        <x:v>1</x:v>
      </x:c>
      <x:c r="B2" s="146"/>
      <x:c r="C2" s="147" t="s">
        <x:v>2</x:v>
      </x:c>
      <x:c r="D2" s="156"/>
      <x:c r="E2" s="100" t="s">
        <x:v>104</x:v>
      </x:c>
      <x:c r="F2" s="101" t="s">
        <x:v>105</x:v>
      </x:c>
      <x:c r="G2" s="102" t="s">
        <x:v>9</x:v>
      </x:c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E3" s="103" t="s">
        <x:v>106</x:v>
      </x:c>
      <x:c r="F3" s="104" t="s">
        <x:v>107</x:v>
      </x:c>
      <x:c r="G3" s="105">
        <x:v>350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E4" s="106" t="s">
        <x:v>108</x:v>
      </x:c>
      <x:c r="F4" s="107" t="s">
        <x:v>109</x:v>
      </x:c>
      <x:c r="G4" s="108">
        <x:v>5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8" t="s">
        <x:v>60</x:v>
      </x:c>
      <x:c r="G6" s="145"/>
      <x:c r="H6" s="146"/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9" t="s">
        <x:v>91</x:v>
      </x:c>
      <x:c r="G7" s="160"/>
      <x:c r="H7" s="109" t="n">
        <x:f>SUMIF(H25:H94,"&gt;0",H25:H94)</x:f>
        <x:v>8833.18005319731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  <x:c r="F8" s="157" t="s">
        <x:v>92</x:v>
      </x:c>
      <x:c r="G8" s="141"/>
      <x:c r="H8" s="110" t="n">
        <x:f>SUMIF(H25:H94,"&lt;0",H25:H94)</x:f>
        <x:v>0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  <x:c r="F9" s="157" t="s">
        <x:v>93</x:v>
      </x:c>
      <x:c r="G9" s="141"/>
      <x:c r="H9" s="111" t="n">
        <x:f>SUM(R25:R28)</x:f>
        <x:v>699.7759405794507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7" t="s">
        <x:v>94</x:v>
      </x:c>
      <x:c r="G10" s="141"/>
      <x:c r="H10" s="111" t="n">
        <x:f>H7+H8+H9</x:f>
        <x:v>9532.95599377676</x:v>
      </x:c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7" t="s">
        <x:v>110</x:v>
      </x:c>
      <x:c r="G11" s="141"/>
      <x:c r="H11" s="112" t="n">
        <x:f>SUM(J25:J94)</x:f>
        <x:v>1987.505642871662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7" t="s">
        <x:v>111</x:v>
      </x:c>
      <x:c r="G12" s="141"/>
      <x:c r="H12" s="111" t="n">
        <x:f>SUM(T25:T28)</x:f>
        <x:v>157.47079196190913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7" t="s">
        <x:v>112</x:v>
      </x:c>
      <x:c r="G13" s="141"/>
      <x:c r="H13" s="112" t="n">
        <x:f>H11+H12</x:f>
        <x:v>2144.976434833571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7" t="s">
        <x:v>95</x:v>
      </x:c>
      <x:c r="G14" s="141"/>
      <x:c r="H14" s="112" t="n">
        <x:f>H13+H10*($B$4/2-$G$3)/1000</x:f>
        <x:v>476.7091359226381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0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0"/>
        <x:v>402.12385965949352</x:v>
      </x:c>
    </x:row>
    <x:row r="19">
      <x:c r="A19" s="6" t="s">
        <x:v>47</x:v>
      </x:c>
      <x:c r="B19" s="33">
        <x:f t="shared" si="0"/>
        <x:v>402.12385965949352</x:v>
      </x:c>
    </x:row>
    <x:row r="20">
      <x:c r="A20" s="6" t="s">
        <x:v>50</x:v>
      </x:c>
      <x:c r="B20" s="33">
        <x:f t="shared" si="0"/>
        <x:v>804.24771931898704</x:v>
      </x:c>
    </x:row>
    <x:row r="21">
      <x:c r="A21" s="6" t="s">
        <x:v>55</x:v>
      </x:c>
      <x:c r="B21" s="33" t="n">
        <x:f>B17+B18+B19+B20</x:f>
        <x:v>2412.743157956961</x:v>
      </x:c>
    </x:row>
    <x:row r="24">
      <x:c r="A24" s="106" t="s">
        <x:v>113</x:v>
      </x:c>
      <x:c r="B24" s="106" t="s">
        <x:v>109</x:v>
      </x:c>
      <x:c r="C24" s="106" t="s">
        <x:v>114</x:v>
      </x:c>
      <x:c r="D24" s="106" t="s">
        <x:v>115</x:v>
      </x:c>
      <x:c r="E24" s="106" t="s">
        <x:v>116</x:v>
      </x:c>
      <x:c r="F24" s="106" t="s">
        <x:v>117</x:v>
      </x:c>
      <x:c r="G24" s="106" t="s">
        <x:v>118</x:v>
      </x:c>
      <x:c r="H24" s="106" t="s">
        <x:v>119</x:v>
      </x:c>
      <x:c r="I24" s="106" t="s">
        <x:v>120</x:v>
      </x:c>
      <x:c r="J24" s="106" t="s">
        <x:v>110</x:v>
      </x:c>
      <x:c r="L24" s="113" t="s">
        <x:v>121</x:v>
      </x:c>
      <x:c r="M24" s="114" t="s">
        <x:v>122</x:v>
      </x:c>
      <x:c r="N24" s="114" t="s">
        <x:v>123</x:v>
      </x:c>
      <x:c r="O24" s="114" t="s">
        <x:v>74</x:v>
      </x:c>
      <x:c r="P24" s="114" t="s">
        <x:v>124</x:v>
      </x:c>
      <x:c r="Q24" s="114" t="s">
        <x:v>125</x:v>
      </x:c>
      <x:c r="R24" s="114" t="s">
        <x:v>126</x:v>
      </x:c>
      <x:c r="S24" s="114" t="s">
        <x:v>127</x:v>
      </x:c>
      <x:c r="T24" s="115" t="s">
        <x:v>111</x:v>
      </x:c>
    </x:row>
    <x:row r="25">
      <x:c r="A25" s="116" t="n">
        <x:f t="shared" ref="A25:A94" si="1">ROW()-24</x:f>
        <x:v>1</x:v>
      </x:c>
      <x:c r="B25" s="116" t="n">
        <x:f t="shared" ref="B25:B94" si="2">$G$4</x:f>
        <x:v>5</x:v>
      </x:c>
      <x:c r="C25" s="116" t="n">
        <x:f t="shared" ref="C25:C94" si="3">(A25-0.5)*$G$4</x:f>
        <x:v>2.5</x:v>
      </x:c>
      <x:c r="D25" s="117" t="n">
        <x:f t="shared" ref="D25:D94" si="4">$B$11*($G$3-C25)/$G$3</x:f>
        <x:v>0.0034750000000000002</x:v>
      </x:c>
      <x:c r="E25" s="118" t="n">
        <x:f t="shared" ref="E25:E94" si="5">IF(D25&gt;=0,MIN($B$9*D25,$B$10*$B$7),0)</x:f>
        <x:v>110.5</x:v>
      </x:c>
      <x:c r="F25" s="116" t="n">
        <x:f t="shared" ref="F25:F94" si="6">IF(D25&lt;0,IF(ABS(D25)&lt;=$B$12,-MIN($B$9*ABS(D25),$B$8),0),0)</x:f>
        <x:v>0</x:v>
      </x:c>
      <x:c r="G25" s="118" t="n">
        <x:f t="shared" ref="G25:G94" si="7">E25+F25</x:f>
        <x:v>110.5</x:v>
      </x:c>
      <x:c r="H25" s="116" t="n">
        <x:f t="shared" ref="H25:H94" si="8">G25*$B$3*B25/1000</x:f>
        <x:v>193.375</x:v>
      </x:c>
      <x:c r="I25" s="119" t="n">
        <x:f t="shared" ref="I25:I94" si="9">$G$3-C25</x:f>
        <x:v>347.5</x:v>
      </x:c>
      <x:c r="J25" s="119" t="n">
        <x:f t="shared" ref="J25:J94" si="10">H25*I25/1000</x:f>
        <x:v>67.1978125</x:v>
      </x:c>
      <x:c r="L25" s="120" t="n">
        <x:f>1</x:f>
        <x:v>1</x:v>
      </x:c>
      <x:c r="M25" s="121" t="n">
        <x:f t="shared" ref="M25:M28" si="11">D6</x:f>
        <x:v>4</x:v>
      </x:c>
      <x:c r="N25" s="122" t="n">
        <x:f t="shared" ref="N25:N28" si="12">B17</x:f>
        <x:v>804.247719318987</x:v>
      </x:c>
      <x:c r="O25" s="123" t="n">
        <x:f t="shared" ref="O25:O28" si="13">D14</x:f>
        <x:v>48</x:v>
      </x:c>
      <x:c r="P25" s="124" t="n">
        <x:f t="shared" ref="P25:P28" si="14">$B$11*($G$3-O25)/$G$3</x:f>
        <x:v>0.0030199999999999997</x:v>
      </x:c>
      <x:c r="Q25" s="121" t="n">
        <x:f t="shared" ref="Q25:Q28" si="15">MAX(-$D$3,MIN($D$3,$D$4*1000*P25))</x:f>
        <x:v>420</x:v>
      </x:c>
      <x:c r="R25" s="122" t="n">
        <x:f t="shared" ref="R25:R28" si="16">Q25*N25/1000</x:f>
        <x:v>337.7840421139746</x:v>
      </x:c>
      <x:c r="S25" s="123" t="n">
        <x:f t="shared" ref="S25:S28" si="17">$G$3-O25</x:f>
        <x:v>302</x:v>
      </x:c>
      <x:c r="T25" s="122" t="n">
        <x:f t="shared" ref="T25:T28" si="18">R25*S25/1000</x:f>
        <x:v>102.01078071842032</x:v>
      </x:c>
    </x:row>
    <x:row r="26">
      <x:c r="A26" s="120">
        <x:f t="shared" si="1"/>
        <x:v>2</x:v>
      </x:c>
      <x:c r="B26" s="120">
        <x:f t="shared" si="2"/>
        <x:v>5</x:v>
      </x:c>
      <x:c r="C26" s="120">
        <x:f t="shared" si="3"/>
        <x:v>7.5</x:v>
      </x:c>
      <x:c r="D26" s="124">
        <x:f t="shared" si="4"/>
        <x:v>3.4250000000000001E-3</x:v>
      </x:c>
      <x:c r="E26" s="122">
        <x:f t="shared" si="5"/>
        <x:v>110.5</x:v>
      </x:c>
      <x:c r="F26" s="120">
        <x:f t="shared" si="6"/>
        <x:v>0</x:v>
      </x:c>
      <x:c r="G26" s="122">
        <x:f t="shared" si="7"/>
        <x:v>110.5</x:v>
      </x:c>
      <x:c r="H26" s="120">
        <x:f t="shared" si="8"/>
        <x:v>193.375</x:v>
      </x:c>
      <x:c r="I26" s="125">
        <x:f t="shared" si="9"/>
        <x:v>342.5</x:v>
      </x:c>
      <x:c r="J26" s="125">
        <x:f t="shared" si="10"/>
        <x:v>66.230937499999996</x:v>
      </x:c>
      <x:c r="L26" s="120" t="n">
        <x:f>2</x:f>
        <x:v>2</x:v>
      </x:c>
      <x:c r="M26" s="121">
        <x:f t="shared" si="11"/>
        <x:v>2</x:v>
      </x:c>
      <x:c r="N26" s="122">
        <x:f t="shared" si="12"/>
        <x:v>402.12385965949352</x:v>
      </x:c>
      <x:c r="O26" s="123">
        <x:f t="shared" si="13"/>
        <x:v>132.66666666666669</x:v>
      </x:c>
      <x:c r="P26" s="126">
        <x:f t="shared" si="14"/>
        <x:v>2.1733333333333331E-3</x:v>
      </x:c>
      <x:c r="Q26" s="121">
        <x:f t="shared" si="15"/>
        <x:v>420</x:v>
      </x:c>
      <x:c r="R26" s="122">
        <x:f t="shared" si="16"/>
        <x:v>168.89202105698729</x:v>
      </x:c>
      <x:c r="S26" s="123">
        <x:f t="shared" si="17"/>
        <x:v>217.33333333333331</x:v>
      </x:c>
      <x:c r="T26" s="122">
        <x:f t="shared" si="18"/>
        <x:v>36.705865909718568</x:v>
      </x:c>
    </x:row>
    <x:row r="27">
      <x:c r="A27" s="120">
        <x:f t="shared" si="1"/>
        <x:v>3</x:v>
      </x:c>
      <x:c r="B27" s="120">
        <x:f t="shared" si="2"/>
        <x:v>5</x:v>
      </x:c>
      <x:c r="C27" s="120">
        <x:f t="shared" si="3"/>
        <x:v>12.5</x:v>
      </x:c>
      <x:c r="D27" s="124">
        <x:f t="shared" si="4"/>
        <x:v>3.3750000000000004E-3</x:v>
      </x:c>
      <x:c r="E27" s="122">
        <x:f t="shared" si="5"/>
        <x:v>110.5</x:v>
      </x:c>
      <x:c r="F27" s="120">
        <x:f t="shared" si="6"/>
        <x:v>0</x:v>
      </x:c>
      <x:c r="G27" s="122">
        <x:f t="shared" si="7"/>
        <x:v>110.5</x:v>
      </x:c>
      <x:c r="H27" s="120">
        <x:f t="shared" si="8"/>
        <x:v>193.375</x:v>
      </x:c>
      <x:c r="I27" s="125">
        <x:f t="shared" si="9"/>
        <x:v>337.5</x:v>
      </x:c>
      <x:c r="J27" s="125">
        <x:f t="shared" si="10"/>
        <x:v>65.264062499999994</x:v>
      </x:c>
      <x:c r="L27" s="120">
        <x:v>3</x:v>
      </x:c>
      <x:c r="M27" s="121">
        <x:f t="shared" si="11"/>
        <x:v>2</x:v>
      </x:c>
      <x:c r="N27" s="122">
        <x:f t="shared" si="12"/>
        <x:v>402.12385965949352</x:v>
      </x:c>
      <x:c r="O27" s="123">
        <x:f t="shared" si="13"/>
        <x:v>217.33333333333334</x:v>
      </x:c>
      <x:c r="P27" s="126">
        <x:f t="shared" si="14"/>
        <x:v>1.3266666666666665E-3</x:v>
      </x:c>
      <x:c r="Q27" s="121">
        <x:f t="shared" si="15"/>
        <x:v>278.59999999999997</x:v>
      </x:c>
      <x:c r="R27" s="122">
        <x:f t="shared" si="16"/>
        <x:v>112.03170730113489</x:v>
      </x:c>
      <x:c r="S27" s="123">
        <x:f t="shared" si="17"/>
        <x:v>132.66666666666666</x:v>
      </x:c>
      <x:c r="T27" s="122">
        <x:f t="shared" si="18"/>
        <x:v>14.862873168617227</x:v>
      </x:c>
    </x:row>
    <x:row r="28">
      <x:c r="A28" s="120">
        <x:f t="shared" si="1"/>
        <x:v>4</x:v>
      </x:c>
      <x:c r="B28" s="120">
        <x:f t="shared" si="2"/>
        <x:v>5</x:v>
      </x:c>
      <x:c r="C28" s="120">
        <x:f t="shared" si="3"/>
        <x:v>17.5</x:v>
      </x:c>
      <x:c r="D28" s="124">
        <x:f t="shared" si="4"/>
        <x:v>3.3250000000000003E-3</x:v>
      </x:c>
      <x:c r="E28" s="122">
        <x:f t="shared" si="5"/>
        <x:v>110.5</x:v>
      </x:c>
      <x:c r="F28" s="120">
        <x:f t="shared" si="6"/>
        <x:v>0</x:v>
      </x:c>
      <x:c r="G28" s="122">
        <x:f t="shared" si="7"/>
        <x:v>110.5</x:v>
      </x:c>
      <x:c r="H28" s="120">
        <x:f t="shared" si="8"/>
        <x:v>193.375</x:v>
      </x:c>
      <x:c r="I28" s="125">
        <x:f t="shared" si="9"/>
        <x:v>332.5</x:v>
      </x:c>
      <x:c r="J28" s="125">
        <x:f t="shared" si="10"/>
        <x:v>64.297187500000007</x:v>
      </x:c>
      <x:c r="L28" s="103">
        <x:v>4</x:v>
      </x:c>
      <x:c r="M28" s="127">
        <x:f t="shared" si="11"/>
        <x:v>4</x:v>
      </x:c>
      <x:c r="N28" s="128">
        <x:f t="shared" si="12"/>
        <x:v>804.24771931898704</x:v>
      </x:c>
      <x:c r="O28" s="129">
        <x:f t="shared" si="13"/>
        <x:v>302</x:v>
      </x:c>
      <x:c r="P28" s="103">
        <x:f t="shared" si="14"/>
        <x:v>4.8000000000000001E-4</x:v>
      </x:c>
      <x:c r="Q28" s="127">
        <x:f t="shared" si="15"/>
        <x:v>100.8</x:v>
      </x:c>
      <x:c r="R28" s="128">
        <x:f t="shared" si="16"/>
        <x:v>81.068170107353893</x:v>
      </x:c>
      <x:c r="S28" s="129">
        <x:f t="shared" si="17"/>
        <x:v>48</x:v>
      </x:c>
      <x:c r="T28" s="128">
        <x:f t="shared" si="18"/>
        <x:v>3.8912721651529867</x:v>
      </x:c>
    </x:row>
    <x:row r="29">
      <x:c r="A29" s="120">
        <x:f t="shared" si="1"/>
        <x:v>5</x:v>
      </x:c>
      <x:c r="B29" s="120">
        <x:f t="shared" si="2"/>
        <x:v>5</x:v>
      </x:c>
      <x:c r="C29" s="120">
        <x:f t="shared" si="3"/>
        <x:v>22.5</x:v>
      </x:c>
      <x:c r="D29" s="124">
        <x:f t="shared" si="4"/>
        <x:v>3.2750000000000001E-3</x:v>
      </x:c>
      <x:c r="E29" s="122">
        <x:f t="shared" si="5"/>
        <x:v>110.5</x:v>
      </x:c>
      <x:c r="F29" s="120">
        <x:f t="shared" si="6"/>
        <x:v>0</x:v>
      </x:c>
      <x:c r="G29" s="122">
        <x:f t="shared" si="7"/>
        <x:v>110.5</x:v>
      </x:c>
      <x:c r="H29" s="120">
        <x:f t="shared" si="8"/>
        <x:v>193.375</x:v>
      </x:c>
      <x:c r="I29" s="125">
        <x:f t="shared" si="9"/>
        <x:v>327.5</x:v>
      </x:c>
      <x:c r="J29" s="125">
        <x:f t="shared" si="10"/>
        <x:v>63.330312499999998</x:v>
      </x:c>
      <x:c r="R29" s="130"/>
    </x:row>
    <x:row r="30">
      <x:c r="A30" s="120">
        <x:f t="shared" si="1"/>
        <x:v>6</x:v>
      </x:c>
      <x:c r="B30" s="120">
        <x:f t="shared" si="2"/>
        <x:v>5</x:v>
      </x:c>
      <x:c r="C30" s="120">
        <x:f t="shared" si="3"/>
        <x:v>27.5</x:v>
      </x:c>
      <x:c r="D30" s="124">
        <x:f t="shared" si="4"/>
        <x:v>3.2249999999999996E-3</x:v>
      </x:c>
      <x:c r="E30" s="122">
        <x:f t="shared" si="5"/>
        <x:v>110.5</x:v>
      </x:c>
      <x:c r="F30" s="120">
        <x:f t="shared" si="6"/>
        <x:v>0</x:v>
      </x:c>
      <x:c r="G30" s="122">
        <x:f t="shared" si="7"/>
        <x:v>110.5</x:v>
      </x:c>
      <x:c r="H30" s="120">
        <x:f t="shared" si="8"/>
        <x:v>193.375</x:v>
      </x:c>
      <x:c r="I30" s="125">
        <x:f t="shared" si="9"/>
        <x:v>322.5</x:v>
      </x:c>
      <x:c r="J30" s="125">
        <x:f t="shared" si="10"/>
        <x:v>62.363437500000003</x:v>
      </x:c>
    </x:row>
    <x:row r="31">
      <x:c r="A31" s="120">
        <x:f t="shared" si="1"/>
        <x:v>7</x:v>
      </x:c>
      <x:c r="B31" s="120">
        <x:f t="shared" si="2"/>
        <x:v>5</x:v>
      </x:c>
      <x:c r="C31" s="120">
        <x:f t="shared" si="3"/>
        <x:v>32.5</x:v>
      </x:c>
      <x:c r="D31" s="124">
        <x:f t="shared" si="4"/>
        <x:v>3.1750000000000003E-3</x:v>
      </x:c>
      <x:c r="E31" s="122">
        <x:f t="shared" si="5"/>
        <x:v>110.5</x:v>
      </x:c>
      <x:c r="F31" s="120">
        <x:f t="shared" si="6"/>
        <x:v>0</x:v>
      </x:c>
      <x:c r="G31" s="122">
        <x:f t="shared" si="7"/>
        <x:v>110.5</x:v>
      </x:c>
      <x:c r="H31" s="120">
        <x:f t="shared" si="8"/>
        <x:v>193.375</x:v>
      </x:c>
      <x:c r="I31" s="125">
        <x:f t="shared" si="9"/>
        <x:v>317.5</x:v>
      </x:c>
      <x:c r="J31" s="125">
        <x:f t="shared" si="10"/>
        <x:v>61.396562500000002</x:v>
      </x:c>
    </x:row>
    <x:row r="32">
      <x:c r="A32" s="120">
        <x:f t="shared" si="1"/>
        <x:v>8</x:v>
      </x:c>
      <x:c r="B32" s="120">
        <x:f t="shared" si="2"/>
        <x:v>5</x:v>
      </x:c>
      <x:c r="C32" s="120">
        <x:f t="shared" si="3"/>
        <x:v>37.5</x:v>
      </x:c>
      <x:c r="D32" s="124">
        <x:f t="shared" si="4"/>
        <x:v>3.1250000000000002E-3</x:v>
      </x:c>
      <x:c r="E32" s="122">
        <x:f t="shared" si="5"/>
        <x:v>110.5</x:v>
      </x:c>
      <x:c r="F32" s="120">
        <x:f t="shared" si="6"/>
        <x:v>0</x:v>
      </x:c>
      <x:c r="G32" s="122">
        <x:f t="shared" si="7"/>
        <x:v>110.5</x:v>
      </x:c>
      <x:c r="H32" s="120">
        <x:f t="shared" si="8"/>
        <x:v>193.375</x:v>
      </x:c>
      <x:c r="I32" s="125">
        <x:f t="shared" si="9"/>
        <x:v>312.5</x:v>
      </x:c>
      <x:c r="J32" s="125">
        <x:f t="shared" si="10"/>
        <x:v>60.4296875</x:v>
      </x:c>
    </x:row>
    <x:row r="33">
      <x:c r="A33" s="120">
        <x:f t="shared" si="1"/>
        <x:v>9</x:v>
      </x:c>
      <x:c r="B33" s="120">
        <x:f t="shared" si="2"/>
        <x:v>5</x:v>
      </x:c>
      <x:c r="C33" s="120">
        <x:f t="shared" si="3"/>
        <x:v>42.5</x:v>
      </x:c>
      <x:c r="D33" s="124">
        <x:f t="shared" si="4"/>
        <x:v>3.0749999999999996E-3</x:v>
      </x:c>
      <x:c r="E33" s="122">
        <x:f t="shared" si="5"/>
        <x:v>110.5</x:v>
      </x:c>
      <x:c r="F33" s="120">
        <x:f t="shared" si="6"/>
        <x:v>0</x:v>
      </x:c>
      <x:c r="G33" s="122">
        <x:f t="shared" si="7"/>
        <x:v>110.5</x:v>
      </x:c>
      <x:c r="H33" s="120">
        <x:f t="shared" si="8"/>
        <x:v>193.375</x:v>
      </x:c>
      <x:c r="I33" s="125">
        <x:f t="shared" si="9"/>
        <x:v>307.5</x:v>
      </x:c>
      <x:c r="J33" s="125">
        <x:f t="shared" si="10"/>
        <x:v>59.462812499999998</x:v>
      </x:c>
    </x:row>
    <x:row r="34">
      <x:c r="A34" s="120">
        <x:f t="shared" si="1"/>
        <x:v>10</x:v>
      </x:c>
      <x:c r="B34" s="120">
        <x:f t="shared" si="2"/>
        <x:v>5</x:v>
      </x:c>
      <x:c r="C34" s="120">
        <x:f t="shared" si="3"/>
        <x:v>47.5</x:v>
      </x:c>
      <x:c r="D34" s="124">
        <x:f t="shared" si="4"/>
        <x:v>3.0250000000000003E-3</x:v>
      </x:c>
      <x:c r="E34" s="122">
        <x:f t="shared" si="5"/>
        <x:v>110.5</x:v>
      </x:c>
      <x:c r="F34" s="120">
        <x:f t="shared" si="6"/>
        <x:v>0</x:v>
      </x:c>
      <x:c r="G34" s="122">
        <x:f t="shared" si="7"/>
        <x:v>110.5</x:v>
      </x:c>
      <x:c r="H34" s="120">
        <x:f t="shared" si="8"/>
        <x:v>193.375</x:v>
      </x:c>
      <x:c r="I34" s="125">
        <x:f t="shared" si="9"/>
        <x:v>302.5</x:v>
      </x:c>
      <x:c r="J34" s="125">
        <x:f t="shared" si="10"/>
        <x:v>58.495937499999997</x:v>
      </x:c>
      <x:c r="M34" s="131"/>
      <x:c r="N34" s="130"/>
      <x:c r="O34" s="132"/>
      <x:c r="Q34" s="131"/>
      <x:c r="S34" s="132"/>
    </x:row>
    <x:row r="35">
      <x:c r="A35" s="120">
        <x:f t="shared" si="1"/>
        <x:v>11</x:v>
      </x:c>
      <x:c r="B35" s="120">
        <x:f t="shared" si="2"/>
        <x:v>5</x:v>
      </x:c>
      <x:c r="C35" s="120">
        <x:f t="shared" si="3"/>
        <x:v>52.5</x:v>
      </x:c>
      <x:c r="D35" s="124">
        <x:f t="shared" si="4"/>
        <x:v>2.9750000000000002E-3</x:v>
      </x:c>
      <x:c r="E35" s="122">
        <x:f t="shared" si="5"/>
        <x:v>110.5</x:v>
      </x:c>
      <x:c r="F35" s="120">
        <x:f t="shared" si="6"/>
        <x:v>0</x:v>
      </x:c>
      <x:c r="G35" s="122">
        <x:f t="shared" si="7"/>
        <x:v>110.5</x:v>
      </x:c>
      <x:c r="H35" s="122">
        <x:f t="shared" si="8"/>
        <x:v>193.375</x:v>
      </x:c>
      <x:c r="I35" s="125">
        <x:f t="shared" si="9"/>
        <x:v>297.5</x:v>
      </x:c>
      <x:c r="J35" s="125">
        <x:f t="shared" si="10"/>
        <x:v>57.529062500000002</x:v>
      </x:c>
    </x:row>
    <x:row r="36">
      <x:c r="A36" s="120">
        <x:f t="shared" si="1"/>
        <x:v>12</x:v>
      </x:c>
      <x:c r="B36" s="120">
        <x:f t="shared" si="2"/>
        <x:v>5</x:v>
      </x:c>
      <x:c r="C36" s="120">
        <x:f t="shared" si="3"/>
        <x:v>57.5</x:v>
      </x:c>
      <x:c r="D36" s="124">
        <x:f t="shared" si="4"/>
        <x:v>2.9249999999999996E-3</x:v>
      </x:c>
      <x:c r="E36" s="122">
        <x:f t="shared" si="5"/>
        <x:v>110.5</x:v>
      </x:c>
      <x:c r="F36" s="120">
        <x:f t="shared" si="6"/>
        <x:v>0</x:v>
      </x:c>
      <x:c r="G36" s="122">
        <x:f t="shared" si="7"/>
        <x:v>110.5</x:v>
      </x:c>
      <x:c r="H36" s="122">
        <x:f t="shared" si="8"/>
        <x:v>193.375</x:v>
      </x:c>
      <x:c r="I36" s="125">
        <x:f t="shared" si="9"/>
        <x:v>292.5</x:v>
      </x:c>
      <x:c r="J36" s="125">
        <x:f t="shared" si="10"/>
        <x:v>56.5621875</x:v>
      </x:c>
    </x:row>
    <x:row r="37">
      <x:c r="A37" s="120">
        <x:f t="shared" si="1"/>
        <x:v>13</x:v>
      </x:c>
      <x:c r="B37" s="120">
        <x:f t="shared" si="2"/>
        <x:v>5</x:v>
      </x:c>
      <x:c r="C37" s="120">
        <x:f t="shared" si="3"/>
        <x:v>62.5</x:v>
      </x:c>
      <x:c r="D37" s="124">
        <x:f t="shared" si="4"/>
        <x:v>2.8750000000000004E-3</x:v>
      </x:c>
      <x:c r="E37" s="122">
        <x:f t="shared" si="5"/>
        <x:v>110.5</x:v>
      </x:c>
      <x:c r="F37" s="120">
        <x:f t="shared" si="6"/>
        <x:v>0</x:v>
      </x:c>
      <x:c r="G37" s="122">
        <x:f t="shared" si="7"/>
        <x:v>110.5</x:v>
      </x:c>
      <x:c r="H37" s="122">
        <x:f t="shared" si="8"/>
        <x:v>193.375</x:v>
      </x:c>
      <x:c r="I37" s="125">
        <x:f t="shared" si="9"/>
        <x:v>287.5</x:v>
      </x:c>
      <x:c r="J37" s="125">
        <x:f t="shared" si="10"/>
        <x:v>55.595312499999999</x:v>
      </x:c>
    </x:row>
    <x:row r="38">
      <x:c r="A38" s="120">
        <x:f t="shared" si="1"/>
        <x:v>14</x:v>
      </x:c>
      <x:c r="B38" s="120">
        <x:f t="shared" si="2"/>
        <x:v>5</x:v>
      </x:c>
      <x:c r="C38" s="120">
        <x:f t="shared" si="3"/>
        <x:v>67.5</x:v>
      </x:c>
      <x:c r="D38" s="124">
        <x:f t="shared" si="4"/>
        <x:v>2.8250000000000003E-3</x:v>
      </x:c>
      <x:c r="E38" s="122">
        <x:f t="shared" si="5"/>
        <x:v>110.5</x:v>
      </x:c>
      <x:c r="F38" s="120">
        <x:f t="shared" si="6"/>
        <x:v>0</x:v>
      </x:c>
      <x:c r="G38" s="122">
        <x:f t="shared" si="7"/>
        <x:v>110.5</x:v>
      </x:c>
      <x:c r="H38" s="122">
        <x:f t="shared" si="8"/>
        <x:v>193.375</x:v>
      </x:c>
      <x:c r="I38" s="125">
        <x:f t="shared" si="9"/>
        <x:v>282.5</x:v>
      </x:c>
      <x:c r="J38" s="125">
        <x:f t="shared" si="10"/>
        <x:v>54.628437499999997</x:v>
      </x:c>
    </x:row>
    <x:row r="39">
      <x:c r="A39" s="120">
        <x:f t="shared" si="1"/>
        <x:v>15</x:v>
      </x:c>
      <x:c r="B39" s="120">
        <x:f t="shared" si="2"/>
        <x:v>5</x:v>
      </x:c>
      <x:c r="C39" s="120">
        <x:f t="shared" si="3"/>
        <x:v>72.5</x:v>
      </x:c>
      <x:c r="D39" s="124">
        <x:f t="shared" si="4"/>
        <x:v>2.7750000000000001E-3</x:v>
      </x:c>
      <x:c r="E39" s="122">
        <x:f t="shared" si="5"/>
        <x:v>110.5</x:v>
      </x:c>
      <x:c r="F39" s="120">
        <x:f t="shared" si="6"/>
        <x:v>0</x:v>
      </x:c>
      <x:c r="G39" s="122">
        <x:f t="shared" si="7"/>
        <x:v>110.5</x:v>
      </x:c>
      <x:c r="H39" s="122">
        <x:f t="shared" si="8"/>
        <x:v>193.375</x:v>
      </x:c>
      <x:c r="I39" s="125">
        <x:f t="shared" si="9"/>
        <x:v>277.5</x:v>
      </x:c>
      <x:c r="J39" s="125">
        <x:f t="shared" si="10"/>
        <x:v>53.661562500000002</x:v>
      </x:c>
    </x:row>
    <x:row r="40">
      <x:c r="A40" s="120">
        <x:f t="shared" si="1"/>
        <x:v>16</x:v>
      </x:c>
      <x:c r="B40" s="120">
        <x:f t="shared" si="2"/>
        <x:v>5</x:v>
      </x:c>
      <x:c r="C40" s="120">
        <x:f t="shared" si="3"/>
        <x:v>77.5</x:v>
      </x:c>
      <x:c r="D40" s="124">
        <x:f t="shared" si="4"/>
        <x:v>2.725E-3</x:v>
      </x:c>
      <x:c r="E40" s="122">
        <x:f t="shared" si="5"/>
        <x:v>110.5</x:v>
      </x:c>
      <x:c r="F40" s="120">
        <x:f t="shared" si="6"/>
        <x:v>0</x:v>
      </x:c>
      <x:c r="G40" s="122">
        <x:f t="shared" si="7"/>
        <x:v>110.5</x:v>
      </x:c>
      <x:c r="H40" s="122">
        <x:f t="shared" si="8"/>
        <x:v>193.375</x:v>
      </x:c>
      <x:c r="I40" s="125">
        <x:f t="shared" si="9"/>
        <x:v>272.5</x:v>
      </x:c>
      <x:c r="J40" s="125">
        <x:f t="shared" si="10"/>
        <x:v>52.694687500000001</x:v>
      </x:c>
    </x:row>
    <x:row r="41">
      <x:c r="A41" s="120">
        <x:f t="shared" si="1"/>
        <x:v>17</x:v>
      </x:c>
      <x:c r="B41" s="120">
        <x:f t="shared" si="2"/>
        <x:v>5</x:v>
      </x:c>
      <x:c r="C41" s="120">
        <x:f t="shared" si="3"/>
        <x:v>82.5</x:v>
      </x:c>
      <x:c r="D41" s="124">
        <x:f t="shared" si="4"/>
        <x:v>2.6749999999999999E-3</x:v>
      </x:c>
      <x:c r="E41" s="122">
        <x:f t="shared" si="5"/>
        <x:v>110.5</x:v>
      </x:c>
      <x:c r="F41" s="120">
        <x:f t="shared" si="6"/>
        <x:v>0</x:v>
      </x:c>
      <x:c r="G41" s="122">
        <x:f t="shared" si="7"/>
        <x:v>110.5</x:v>
      </x:c>
      <x:c r="H41" s="122">
        <x:f t="shared" si="8"/>
        <x:v>193.375</x:v>
      </x:c>
      <x:c r="I41" s="125">
        <x:f t="shared" si="9"/>
        <x:v>267.5</x:v>
      </x:c>
      <x:c r="J41" s="125">
        <x:f t="shared" si="10"/>
        <x:v>51.727812499999999</x:v>
      </x:c>
    </x:row>
    <x:row r="42">
      <x:c r="A42" s="120">
        <x:f t="shared" si="1"/>
        <x:v>18</x:v>
      </x:c>
      <x:c r="B42" s="120">
        <x:f t="shared" si="2"/>
        <x:v>5</x:v>
      </x:c>
      <x:c r="C42" s="120">
        <x:f t="shared" si="3"/>
        <x:v>87.5</x:v>
      </x:c>
      <x:c r="D42" s="124">
        <x:f t="shared" si="4"/>
        <x:v>2.6250000000000002E-3</x:v>
      </x:c>
      <x:c r="E42" s="122">
        <x:f t="shared" si="5"/>
        <x:v>110.5</x:v>
      </x:c>
      <x:c r="F42" s="120">
        <x:f t="shared" si="6"/>
        <x:v>0</x:v>
      </x:c>
      <x:c r="G42" s="122">
        <x:f t="shared" si="7"/>
        <x:v>110.5</x:v>
      </x:c>
      <x:c r="H42" s="122">
        <x:f t="shared" si="8"/>
        <x:v>193.375</x:v>
      </x:c>
      <x:c r="I42" s="125">
        <x:f t="shared" si="9"/>
        <x:v>262.5</x:v>
      </x:c>
      <x:c r="J42" s="125">
        <x:f t="shared" si="10"/>
        <x:v>50.760937499999997</x:v>
      </x:c>
    </x:row>
    <x:row r="43">
      <x:c r="A43" s="120">
        <x:f t="shared" si="1"/>
        <x:v>19</x:v>
      </x:c>
      <x:c r="B43" s="120">
        <x:f t="shared" si="2"/>
        <x:v>5</x:v>
      </x:c>
      <x:c r="C43" s="120">
        <x:f t="shared" si="3"/>
        <x:v>92.5</x:v>
      </x:c>
      <x:c r="D43" s="124">
        <x:f t="shared" si="4"/>
        <x:v>2.575E-3</x:v>
      </x:c>
      <x:c r="E43" s="122">
        <x:f t="shared" si="5"/>
        <x:v>110.5</x:v>
      </x:c>
      <x:c r="F43" s="120">
        <x:f t="shared" si="6"/>
        <x:v>0</x:v>
      </x:c>
      <x:c r="G43" s="122">
        <x:f t="shared" si="7"/>
        <x:v>110.5</x:v>
      </x:c>
      <x:c r="H43" s="122">
        <x:f t="shared" si="8"/>
        <x:v>193.375</x:v>
      </x:c>
      <x:c r="I43" s="125">
        <x:f t="shared" si="9"/>
        <x:v>257.5</x:v>
      </x:c>
      <x:c r="J43" s="125">
        <x:f t="shared" si="10"/>
        <x:v>49.794062500000003</x:v>
      </x:c>
    </x:row>
    <x:row r="44">
      <x:c r="A44" s="120">
        <x:f t="shared" si="1"/>
        <x:v>20</x:v>
      </x:c>
      <x:c r="B44" s="120">
        <x:f t="shared" si="2"/>
        <x:v>5</x:v>
      </x:c>
      <x:c r="C44" s="120">
        <x:f t="shared" si="3"/>
        <x:v>97.5</x:v>
      </x:c>
      <x:c r="D44" s="124">
        <x:f t="shared" si="4"/>
        <x:v>2.5249999999999999E-3</x:v>
      </x:c>
      <x:c r="E44" s="122">
        <x:f t="shared" si="5"/>
        <x:v>110.5</x:v>
      </x:c>
      <x:c r="F44" s="120">
        <x:f t="shared" si="6"/>
        <x:v>0</x:v>
      </x:c>
      <x:c r="G44" s="122">
        <x:f t="shared" si="7"/>
        <x:v>110.5</x:v>
      </x:c>
      <x:c r="H44" s="122">
        <x:f t="shared" si="8"/>
        <x:v>193.375</x:v>
      </x:c>
      <x:c r="I44" s="125">
        <x:f t="shared" si="9"/>
        <x:v>252.5</x:v>
      </x:c>
      <x:c r="J44" s="125">
        <x:f t="shared" si="10"/>
        <x:v>48.827187500000001</x:v>
      </x:c>
    </x:row>
    <x:row r="45">
      <x:c r="A45" s="120">
        <x:f t="shared" si="1"/>
        <x:v>21</x:v>
      </x:c>
      <x:c r="B45" s="120">
        <x:f t="shared" si="2"/>
        <x:v>5</x:v>
      </x:c>
      <x:c r="C45" s="120">
        <x:f t="shared" si="3"/>
        <x:v>102.5</x:v>
      </x:c>
      <x:c r="D45" s="124">
        <x:f t="shared" si="4"/>
        <x:v>2.4749999999999998E-3</x:v>
      </x:c>
      <x:c r="E45" s="122">
        <x:f t="shared" si="5"/>
        <x:v>110.5</x:v>
      </x:c>
      <x:c r="F45" s="120">
        <x:f t="shared" si="6"/>
        <x:v>0</x:v>
      </x:c>
      <x:c r="G45" s="122">
        <x:f t="shared" si="7"/>
        <x:v>110.5</x:v>
      </x:c>
      <x:c r="H45" s="122">
        <x:f t="shared" si="8"/>
        <x:v>193.375</x:v>
      </x:c>
      <x:c r="I45" s="125">
        <x:f t="shared" si="9"/>
        <x:v>247.5</x:v>
      </x:c>
      <x:c r="J45" s="125">
        <x:f t="shared" si="10"/>
        <x:v>47.860312499999999</x:v>
      </x:c>
    </x:row>
    <x:row r="46">
      <x:c r="A46" s="120">
        <x:f t="shared" si="1"/>
        <x:v>22</x:v>
      </x:c>
      <x:c r="B46" s="120">
        <x:f t="shared" si="2"/>
        <x:v>5</x:v>
      </x:c>
      <x:c r="C46" s="120">
        <x:f t="shared" si="3"/>
        <x:v>107.5</x:v>
      </x:c>
      <x:c r="D46" s="124">
        <x:f t="shared" si="4"/>
        <x:v>2.4250000000000001E-3</x:v>
      </x:c>
      <x:c r="E46" s="122">
        <x:f t="shared" si="5"/>
        <x:v>110.17161662643871</x:v>
      </x:c>
      <x:c r="F46" s="120">
        <x:f t="shared" si="6"/>
        <x:v>0</x:v>
      </x:c>
      <x:c r="G46" s="122">
        <x:f t="shared" si="7"/>
        <x:v>110.17161662643871</x:v>
      </x:c>
      <x:c r="H46" s="122">
        <x:f t="shared" si="8"/>
        <x:v>192.80032909626775</x:v>
      </x:c>
      <x:c r="I46" s="125">
        <x:f t="shared" si="9"/>
        <x:v>242.5</x:v>
      </x:c>
      <x:c r="J46" s="125">
        <x:f t="shared" si="10"/>
        <x:v>46.754079805844931</x:v>
      </x:c>
    </x:row>
    <x:row r="47">
      <x:c r="A47" s="120">
        <x:f t="shared" si="1"/>
        <x:v>23</x:v>
      </x:c>
      <x:c r="B47" s="120">
        <x:f t="shared" si="2"/>
        <x:v>5</x:v>
      </x:c>
      <x:c r="C47" s="120">
        <x:f t="shared" si="3"/>
        <x:v>112.5</x:v>
      </x:c>
      <x:c r="D47" s="124">
        <x:f t="shared" si="4"/>
        <x:v>2.3749999999999999E-3</x:v>
      </x:c>
      <x:c r="E47" s="122">
        <x:f t="shared" si="5"/>
        <x:v>107.90003690218222</x:v>
      </x:c>
      <x:c r="F47" s="120">
        <x:f t="shared" si="6"/>
        <x:v>0</x:v>
      </x:c>
      <x:c r="G47" s="122">
        <x:f t="shared" si="7"/>
        <x:v>107.90003690218222</x:v>
      </x:c>
      <x:c r="H47" s="122">
        <x:f t="shared" si="8"/>
        <x:v>188.82506457881888</x:v>
      </x:c>
      <x:c r="I47" s="125">
        <x:f t="shared" si="9"/>
        <x:v>237.5</x:v>
      </x:c>
      <x:c r="J47" s="125">
        <x:f t="shared" si="10"/>
        <x:v>44.845952837469483</x:v>
      </x:c>
    </x:row>
    <x:row r="48">
      <x:c r="A48" s="120">
        <x:f t="shared" si="1"/>
        <x:v>24</x:v>
      </x:c>
      <x:c r="B48" s="120">
        <x:f t="shared" si="2"/>
        <x:v>5</x:v>
      </x:c>
      <x:c r="C48" s="120">
        <x:f t="shared" si="3"/>
        <x:v>117.5</x:v>
      </x:c>
      <x:c r="D48" s="124">
        <x:f t="shared" si="4"/>
        <x:v>2.3249999999999998E-3</x:v>
      </x:c>
      <x:c r="E48" s="122">
        <x:f t="shared" si="5"/>
        <x:v>105.62845717792575</x:v>
      </x:c>
      <x:c r="F48" s="120">
        <x:f t="shared" si="6"/>
        <x:v>0</x:v>
      </x:c>
      <x:c r="G48" s="122">
        <x:f t="shared" si="7"/>
        <x:v>105.62845717792575</x:v>
      </x:c>
      <x:c r="H48" s="122">
        <x:f t="shared" si="8"/>
        <x:v>184.84980006137008</x:v>
      </x:c>
      <x:c r="I48" s="125">
        <x:f t="shared" si="9"/>
        <x:v>232.5</x:v>
      </x:c>
      <x:c r="J48" s="125">
        <x:f t="shared" si="10"/>
        <x:v>42.977578514268544</x:v>
      </x:c>
    </x:row>
    <x:row r="49">
      <x:c r="A49" s="120">
        <x:f t="shared" si="1"/>
        <x:v>25</x:v>
      </x:c>
      <x:c r="B49" s="120">
        <x:f t="shared" si="2"/>
        <x:v>5</x:v>
      </x:c>
      <x:c r="C49" s="120">
        <x:f t="shared" si="3"/>
        <x:v>122.5</x:v>
      </x:c>
      <x:c r="D49" s="124">
        <x:f t="shared" si="4"/>
        <x:v>2.2750000000000001E-3</x:v>
      </x:c>
      <x:c r="E49" s="122">
        <x:f t="shared" si="5"/>
        <x:v>103.3568774536693</x:v>
      </x:c>
      <x:c r="F49" s="120">
        <x:f t="shared" si="6"/>
        <x:v>0</x:v>
      </x:c>
      <x:c r="G49" s="122">
        <x:f t="shared" si="7"/>
        <x:v>103.3568774536693</x:v>
      </x:c>
      <x:c r="H49" s="122">
        <x:f t="shared" si="8"/>
        <x:v>180.87453554392127</x:v>
      </x:c>
      <x:c r="I49" s="125">
        <x:f t="shared" si="9"/>
        <x:v>227.5</x:v>
      </x:c>
      <x:c r="J49" s="125">
        <x:f t="shared" si="10"/>
        <x:v>41.148956836242093</x:v>
      </x:c>
    </x:row>
    <x:row r="50">
      <x:c r="A50" s="120">
        <x:f t="shared" si="1"/>
        <x:v>26</x:v>
      </x:c>
      <x:c r="B50" s="120">
        <x:f t="shared" si="2"/>
        <x:v>5</x:v>
      </x:c>
      <x:c r="C50" s="120">
        <x:f t="shared" si="3"/>
        <x:v>127.5</x:v>
      </x:c>
      <x:c r="D50" s="124">
        <x:f t="shared" si="4"/>
        <x:v>2.225E-3</x:v>
      </x:c>
      <x:c r="E50" s="122">
        <x:f t="shared" si="5"/>
        <x:v>101.08529772941283</x:v>
      </x:c>
      <x:c r="F50" s="120">
        <x:f t="shared" si="6"/>
        <x:v>0</x:v>
      </x:c>
      <x:c r="G50" s="122">
        <x:f t="shared" si="7"/>
        <x:v>101.08529772941283</x:v>
      </x:c>
      <x:c r="H50" s="122">
        <x:f t="shared" si="8"/>
        <x:v>176.89927102647243</x:v>
      </x:c>
      <x:c r="I50" s="125">
        <x:f t="shared" si="9"/>
        <x:v>222.5</x:v>
      </x:c>
      <x:c r="J50" s="125">
        <x:f t="shared" si="10"/>
        <x:v>39.360087803390115</x:v>
      </x:c>
    </x:row>
    <x:row r="51">
      <x:c r="A51" s="120">
        <x:f t="shared" si="1"/>
        <x:v>27</x:v>
      </x:c>
      <x:c r="B51" s="120">
        <x:f t="shared" si="2"/>
        <x:v>5</x:v>
      </x:c>
      <x:c r="C51" s="120">
        <x:f t="shared" si="3"/>
        <x:v>132.5</x:v>
      </x:c>
      <x:c r="D51" s="124">
        <x:f t="shared" si="4"/>
        <x:v>2.1749999999999999E-3</x:v>
      </x:c>
      <x:c r="E51" s="122">
        <x:f t="shared" si="5"/>
        <x:v>98.813718005156346</x:v>
      </x:c>
      <x:c r="F51" s="120">
        <x:f t="shared" si="6"/>
        <x:v>0</x:v>
      </x:c>
      <x:c r="G51" s="122">
        <x:f t="shared" si="7"/>
        <x:v>98.813718005156346</x:v>
      </x:c>
      <x:c r="H51" s="122">
        <x:f t="shared" si="8"/>
        <x:v>172.9240065090236</x:v>
      </x:c>
      <x:c r="I51" s="125">
        <x:f t="shared" si="9"/>
        <x:v>217.5</x:v>
      </x:c>
      <x:c r="J51" s="125">
        <x:f t="shared" si="10"/>
        <x:v>37.610971415712626</x:v>
      </x:c>
    </x:row>
    <x:row r="52">
      <x:c r="A52" s="120">
        <x:f t="shared" si="1"/>
        <x:v>28</x:v>
      </x:c>
      <x:c r="B52" s="120">
        <x:f t="shared" si="2"/>
        <x:v>5</x:v>
      </x:c>
      <x:c r="C52" s="120">
        <x:f t="shared" si="3"/>
        <x:v>137.5</x:v>
      </x:c>
      <x:c r="D52" s="124">
        <x:f t="shared" si="4"/>
        <x:v>2.1250000000000002E-3</x:v>
      </x:c>
      <x:c r="E52" s="122">
        <x:f t="shared" si="5"/>
        <x:v>96.542138280899891</x:v>
      </x:c>
      <x:c r="F52" s="120">
        <x:f t="shared" si="6"/>
        <x:v>0</x:v>
      </x:c>
      <x:c r="G52" s="122">
        <x:f t="shared" si="7"/>
        <x:v>96.542138280899891</x:v>
      </x:c>
      <x:c r="H52" s="122">
        <x:f t="shared" si="8"/>
        <x:v>168.94874199157482</x:v>
      </x:c>
      <x:c r="I52" s="125">
        <x:f t="shared" si="9"/>
        <x:v>212.5</x:v>
      </x:c>
      <x:c r="J52" s="125">
        <x:f t="shared" si="10"/>
        <x:v>35.901607673209647</x:v>
      </x:c>
    </x:row>
    <x:row r="53">
      <x:c r="A53" s="120">
        <x:f t="shared" si="1"/>
        <x:v>29</x:v>
      </x:c>
      <x:c r="B53" s="120">
        <x:f t="shared" si="2"/>
        <x:v>5</x:v>
      </x:c>
      <x:c r="C53" s="120">
        <x:f t="shared" si="3"/>
        <x:v>142.5</x:v>
      </x:c>
      <x:c r="D53" s="124">
        <x:f t="shared" si="4"/>
        <x:v>2.075E-3</x:v>
      </x:c>
      <x:c r="E53" s="122">
        <x:f t="shared" si="5"/>
        <x:v>94.270558556643422</x:v>
      </x:c>
      <x:c r="F53" s="120">
        <x:f t="shared" si="6"/>
        <x:v>0</x:v>
      </x:c>
      <x:c r="G53" s="122">
        <x:f t="shared" si="7"/>
        <x:v>94.270558556643422</x:v>
      </x:c>
      <x:c r="H53" s="122">
        <x:f t="shared" si="8"/>
        <x:v>164.97347747412599</x:v>
      </x:c>
      <x:c r="I53" s="125">
        <x:f t="shared" si="9"/>
        <x:v>207.5</x:v>
      </x:c>
      <x:c r="J53" s="125">
        <x:f t="shared" si="10"/>
        <x:v>34.231996575881148</x:v>
      </x:c>
    </x:row>
    <x:row r="54">
      <x:c r="A54" s="120">
        <x:f t="shared" si="1"/>
        <x:v>30</x:v>
      </x:c>
      <x:c r="B54" s="120">
        <x:f t="shared" si="2"/>
        <x:v>5</x:v>
      </x:c>
      <x:c r="C54" s="120">
        <x:f t="shared" si="3"/>
        <x:v>147.5</x:v>
      </x:c>
      <x:c r="D54" s="124">
        <x:f t="shared" si="4"/>
        <x:v>2.0249999999999999E-3</x:v>
      </x:c>
      <x:c r="E54" s="122">
        <x:f t="shared" si="5"/>
        <x:v>91.998978832386953</x:v>
      </x:c>
      <x:c r="F54" s="120">
        <x:f t="shared" si="6"/>
        <x:v>0</x:v>
      </x:c>
      <x:c r="G54" s="122">
        <x:f t="shared" si="7"/>
        <x:v>91.998978832386953</x:v>
      </x:c>
      <x:c r="H54" s="122">
        <x:f t="shared" si="8"/>
        <x:v>160.99821295667715</x:v>
      </x:c>
      <x:c r="I54" s="125">
        <x:f t="shared" si="9"/>
        <x:v>202.5</x:v>
      </x:c>
      <x:c r="J54" s="125">
        <x:f t="shared" si="10"/>
        <x:v>32.602138123727123</x:v>
      </x:c>
    </x:row>
    <x:row r="55">
      <x:c r="A55" s="120">
        <x:f t="shared" si="1"/>
        <x:v>31</x:v>
      </x:c>
      <x:c r="B55" s="120">
        <x:f t="shared" si="2"/>
        <x:v>5</x:v>
      </x:c>
      <x:c r="C55" s="120">
        <x:f t="shared" si="3"/>
        <x:v>152.5</x:v>
      </x:c>
      <x:c r="D55" s="124">
        <x:f t="shared" si="4"/>
        <x:v>1.9750000000000002E-3</x:v>
      </x:c>
      <x:c r="E55" s="122">
        <x:f t="shared" si="5"/>
        <x:v>89.727399108130498</x:v>
      </x:c>
      <x:c r="F55" s="120">
        <x:f t="shared" si="6"/>
        <x:v>0</x:v>
      </x:c>
      <x:c r="G55" s="122">
        <x:f t="shared" si="7"/>
        <x:v>89.727399108130498</x:v>
      </x:c>
      <x:c r="H55" s="122">
        <x:f t="shared" si="8"/>
        <x:v>157.02294843922837</x:v>
      </x:c>
      <x:c r="I55" s="125">
        <x:f t="shared" si="9"/>
        <x:v>197.5</x:v>
      </x:c>
      <x:c r="J55" s="125">
        <x:f t="shared" si="10"/>
        <x:v>31.0120323167476</x:v>
      </x:c>
    </x:row>
    <x:row r="56">
      <x:c r="A56" s="120">
        <x:f t="shared" si="1"/>
        <x:v>32</x:v>
      </x:c>
      <x:c r="B56" s="120">
        <x:f t="shared" si="2"/>
        <x:v>5</x:v>
      </x:c>
      <x:c r="C56" s="120">
        <x:f t="shared" si="3"/>
        <x:v>157.5</x:v>
      </x:c>
      <x:c r="D56" s="124">
        <x:f t="shared" si="4"/>
        <x:v>1.9249999999999998E-3</x:v>
      </x:c>
      <x:c r="E56" s="122">
        <x:f t="shared" si="5"/>
        <x:v>87.455819383874015</x:v>
      </x:c>
      <x:c r="F56" s="120">
        <x:f t="shared" si="6"/>
        <x:v>0</x:v>
      </x:c>
      <x:c r="G56" s="122">
        <x:f t="shared" si="7"/>
        <x:v>87.455819383874015</x:v>
      </x:c>
      <x:c r="H56" s="122">
        <x:f t="shared" si="8"/>
        <x:v>153.04768392177954</x:v>
      </x:c>
      <x:c r="I56" s="125">
        <x:f t="shared" si="9"/>
        <x:v>192.5</x:v>
      </x:c>
      <x:c r="J56" s="125">
        <x:f t="shared" si="10"/>
        <x:v>29.461679154942562</x:v>
      </x:c>
    </x:row>
    <x:row r="57">
      <x:c r="A57" s="120">
        <x:f t="shared" si="1"/>
        <x:v>33</x:v>
      </x:c>
      <x:c r="B57" s="120">
        <x:f t="shared" si="2"/>
        <x:v>5</x:v>
      </x:c>
      <x:c r="C57" s="120">
        <x:f t="shared" si="3"/>
        <x:v>162.5</x:v>
      </x:c>
      <x:c r="D57" s="124">
        <x:f t="shared" si="4"/>
        <x:v>1.8749999999999999E-3</x:v>
      </x:c>
      <x:c r="E57" s="122">
        <x:f t="shared" si="5"/>
        <x:v>85.184239659617546</x:v>
      </x:c>
      <x:c r="F57" s="120">
        <x:f t="shared" si="6"/>
        <x:v>0</x:v>
      </x:c>
      <x:c r="G57" s="122">
        <x:f t="shared" si="7"/>
        <x:v>85.184239659617546</x:v>
      </x:c>
      <x:c r="H57" s="122">
        <x:f t="shared" si="8"/>
        <x:v>149.0724194043307</x:v>
      </x:c>
      <x:c r="I57" s="125">
        <x:f t="shared" si="9"/>
        <x:v>187.5</x:v>
      </x:c>
      <x:c r="J57" s="125">
        <x:f t="shared" si="10"/>
        <x:v>27.951078638312005</x:v>
      </x:c>
    </x:row>
    <x:row r="58">
      <x:c r="A58" s="120">
        <x:f t="shared" si="1"/>
        <x:v>34</x:v>
      </x:c>
      <x:c r="B58" s="120">
        <x:f t="shared" si="2"/>
        <x:v>5</x:v>
      </x:c>
      <x:c r="C58" s="120">
        <x:f t="shared" si="3"/>
        <x:v>167.5</x:v>
      </x:c>
      <x:c r="D58" s="124">
        <x:f t="shared" si="4"/>
        <x:v>1.825E-3</x:v>
      </x:c>
      <x:c r="E58" s="122">
        <x:f t="shared" si="5"/>
        <x:v>82.912659935361077</x:v>
      </x:c>
      <x:c r="F58" s="133">
        <x:f t="shared" si="6"/>
        <x:v>0</x:v>
      </x:c>
      <x:c r="G58" s="122">
        <x:f t="shared" si="7"/>
        <x:v>82.912659935361077</x:v>
      </x:c>
      <x:c r="H58" s="122">
        <x:f t="shared" si="8"/>
        <x:v>145.09715488688187</x:v>
      </x:c>
      <x:c r="I58" s="125">
        <x:f t="shared" si="9"/>
        <x:v>182.5</x:v>
      </x:c>
      <x:c r="J58" s="125">
        <x:f t="shared" si="10"/>
        <x:v>26.480230766855939</x:v>
      </x:c>
    </x:row>
    <x:row r="59">
      <x:c r="A59" s="120">
        <x:f t="shared" si="1"/>
        <x:v>35</x:v>
      </x:c>
      <x:c r="B59" s="120">
        <x:f t="shared" si="2"/>
        <x:v>5</x:v>
      </x:c>
      <x:c r="C59" s="120">
        <x:f t="shared" si="3"/>
        <x:v>172.5</x:v>
      </x:c>
      <x:c r="D59" s="124">
        <x:f t="shared" si="4"/>
        <x:v>1.7749999999999999E-3</x:v>
      </x:c>
      <x:c r="E59" s="122">
        <x:f t="shared" si="5"/>
        <x:v>80.641080211104608</x:v>
      </x:c>
      <x:c r="F59" s="120">
        <x:f t="shared" si="6"/>
        <x:v>0</x:v>
      </x:c>
      <x:c r="G59" s="122">
        <x:f t="shared" si="7"/>
        <x:v>80.641080211104608</x:v>
      </x:c>
      <x:c r="H59" s="122">
        <x:f t="shared" si="8"/>
        <x:v>141.12189036943306</x:v>
      </x:c>
      <x:c r="I59" s="125">
        <x:f t="shared" si="9"/>
        <x:v>177.5</x:v>
      </x:c>
      <x:c r="J59" s="125">
        <x:f t="shared" si="10"/>
        <x:v>25.049135540574365</x:v>
      </x:c>
    </x:row>
    <x:row r="60">
      <x:c r="A60" s="120">
        <x:f t="shared" si="1"/>
        <x:v>36</x:v>
      </x:c>
      <x:c r="B60" s="120">
        <x:f t="shared" si="2"/>
        <x:v>5</x:v>
      </x:c>
      <x:c r="C60" s="120">
        <x:f t="shared" si="3"/>
        <x:v>177.5</x:v>
      </x:c>
      <x:c r="D60" s="124">
        <x:f t="shared" si="4"/>
        <x:v>1.725E-3</x:v>
      </x:c>
      <x:c r="E60" s="122">
        <x:f t="shared" si="5"/>
        <x:v>78.369500486848139</x:v>
      </x:c>
      <x:c r="F60" s="120">
        <x:f t="shared" si="6"/>
        <x:v>0</x:v>
      </x:c>
      <x:c r="G60" s="122">
        <x:f t="shared" si="7"/>
        <x:v>78.369500486848139</x:v>
      </x:c>
      <x:c r="H60" s="122">
        <x:f t="shared" si="8"/>
        <x:v>137.14662585198425</x:v>
      </x:c>
      <x:c r="I60" s="125">
        <x:f t="shared" si="9"/>
        <x:v>172.5</x:v>
      </x:c>
      <x:c r="J60" s="125">
        <x:f t="shared" si="10"/>
        <x:v>23.657792959467283</x:v>
      </x:c>
    </x:row>
    <x:row r="61">
      <x:c r="A61" s="120">
        <x:f t="shared" si="1"/>
        <x:v>37</x:v>
      </x:c>
      <x:c r="B61" s="120">
        <x:f t="shared" si="2"/>
        <x:v>5</x:v>
      </x:c>
      <x:c r="C61" s="120">
        <x:f t="shared" si="3"/>
        <x:v>182.5</x:v>
      </x:c>
      <x:c r="D61" s="124">
        <x:f t="shared" si="4"/>
        <x:v>1.6750000000000001E-3</x:v>
      </x:c>
      <x:c r="E61" s="122">
        <x:f t="shared" si="5"/>
        <x:v>76.097920762591684</x:v>
      </x:c>
      <x:c r="F61" s="120">
        <x:f t="shared" si="6"/>
        <x:v>0</x:v>
      </x:c>
      <x:c r="G61" s="122">
        <x:f t="shared" si="7"/>
        <x:v>76.097920762591684</x:v>
      </x:c>
      <x:c r="H61" s="122">
        <x:f t="shared" si="8"/>
        <x:v>133.17136133453545</x:v>
      </x:c>
      <x:c r="I61" s="125">
        <x:f t="shared" si="9"/>
        <x:v>167.5</x:v>
      </x:c>
      <x:c r="J61" s="125">
        <x:f t="shared" si="10"/>
        <x:v>22.306203023534685</x:v>
      </x:c>
    </x:row>
    <x:row r="62">
      <x:c r="A62" s="120">
        <x:f t="shared" si="1"/>
        <x:v>38</x:v>
      </x:c>
      <x:c r="B62" s="120">
        <x:f t="shared" si="2"/>
        <x:v>5</x:v>
      </x:c>
      <x:c r="C62" s="120">
        <x:f t="shared" si="3"/>
        <x:v>187.5</x:v>
      </x:c>
      <x:c r="D62" s="124">
        <x:f t="shared" si="4"/>
        <x:v>1.6249999999999999E-3</x:v>
      </x:c>
      <x:c r="E62" s="122">
        <x:f t="shared" si="5"/>
        <x:v>73.826341038335201</x:v>
      </x:c>
      <x:c r="F62" s="120">
        <x:f t="shared" si="6"/>
        <x:v>0</x:v>
      </x:c>
      <x:c r="G62" s="122">
        <x:f t="shared" si="7"/>
        <x:v>73.826341038335201</x:v>
      </x:c>
      <x:c r="H62" s="122">
        <x:f t="shared" si="8"/>
        <x:v>129.19609681708658</x:v>
      </x:c>
      <x:c r="I62" s="125">
        <x:f t="shared" si="9"/>
        <x:v>162.5</x:v>
      </x:c>
      <x:c r="J62" s="125">
        <x:f t="shared" si="10"/>
        <x:v>20.994365732776568</x:v>
      </x:c>
    </x:row>
    <x:row r="63">
      <x:c r="A63" s="120">
        <x:f t="shared" si="1"/>
        <x:v>39</x:v>
      </x:c>
      <x:c r="B63" s="120">
        <x:f t="shared" si="2"/>
        <x:v>5</x:v>
      </x:c>
      <x:c r="C63" s="120">
        <x:f t="shared" si="3"/>
        <x:v>192.5</x:v>
      </x:c>
      <x:c r="D63" s="124">
        <x:f t="shared" si="4"/>
        <x:v>1.575E-3</x:v>
      </x:c>
      <x:c r="E63" s="122">
        <x:f t="shared" si="5"/>
        <x:v>71.554761314078746</x:v>
      </x:c>
      <x:c r="F63" s="120">
        <x:f t="shared" si="6"/>
        <x:v>0</x:v>
      </x:c>
      <x:c r="G63" s="122">
        <x:f t="shared" si="7"/>
        <x:v>71.554761314078746</x:v>
      </x:c>
      <x:c r="H63" s="122">
        <x:f t="shared" si="8"/>
        <x:v>125.22083229963781</x:v>
      </x:c>
      <x:c r="I63" s="125">
        <x:f t="shared" si="9"/>
        <x:v>157.5</x:v>
      </x:c>
      <x:c r="J63" s="125">
        <x:f t="shared" si="10"/>
        <x:v>19.722281087192954</x:v>
      </x:c>
    </x:row>
    <x:row r="64">
      <x:c r="A64" s="120">
        <x:f t="shared" si="1"/>
        <x:v>40</x:v>
      </x:c>
      <x:c r="B64" s="120">
        <x:f t="shared" si="2"/>
        <x:v>5</x:v>
      </x:c>
      <x:c r="C64" s="120">
        <x:f t="shared" si="3"/>
        <x:v>197.5</x:v>
      </x:c>
      <x:c r="D64" s="124">
        <x:f t="shared" si="4"/>
        <x:v>1.5250000000000001E-3</x:v>
      </x:c>
      <x:c r="E64" s="122">
        <x:f t="shared" si="5"/>
        <x:v>69.283181589822277</x:v>
      </x:c>
      <x:c r="F64" s="120">
        <x:f t="shared" si="6"/>
        <x:v>0</x:v>
      </x:c>
      <x:c r="G64" s="122">
        <x:f t="shared" si="7"/>
        <x:v>69.283181589822277</x:v>
      </x:c>
      <x:c r="H64" s="122">
        <x:f t="shared" si="8"/>
        <x:v>121.245567782189</x:v>
      </x:c>
      <x:c r="I64" s="125">
        <x:f t="shared" si="9"/>
        <x:v>152.5</x:v>
      </x:c>
      <x:c r="J64" s="125">
        <x:f t="shared" si="10"/>
        <x:v>18.48994908678382</x:v>
      </x:c>
    </x:row>
    <x:row r="65">
      <x:c r="A65" s="120">
        <x:f t="shared" si="1"/>
        <x:v>41</x:v>
      </x:c>
      <x:c r="B65" s="120">
        <x:f t="shared" si="2"/>
        <x:v>5</x:v>
      </x:c>
      <x:c r="C65" s="120">
        <x:f t="shared" si="3"/>
        <x:v>202.5</x:v>
      </x:c>
      <x:c r="D65" s="124">
        <x:f t="shared" si="4"/>
        <x:v>1.475E-3</x:v>
      </x:c>
      <x:c r="E65" s="122">
        <x:f t="shared" si="5"/>
        <x:v>67.011601865565808</x:v>
      </x:c>
      <x:c r="F65" s="120">
        <x:f t="shared" si="6"/>
        <x:v>0</x:v>
      </x:c>
      <x:c r="G65" s="122">
        <x:f t="shared" si="7"/>
        <x:v>67.011601865565808</x:v>
      </x:c>
      <x:c r="H65" s="122">
        <x:f t="shared" si="8"/>
        <x:v>117.27030326474015</x:v>
      </x:c>
      <x:c r="I65" s="125">
        <x:f t="shared" si="9"/>
        <x:v>147.5</x:v>
      </x:c>
      <x:c r="J65" s="125">
        <x:f t="shared" si="10"/>
        <x:v>17.297369731549175</x:v>
      </x:c>
    </x:row>
    <x:row r="66">
      <x:c r="A66" s="120">
        <x:f t="shared" si="1"/>
        <x:v>42</x:v>
      </x:c>
      <x:c r="B66" s="120">
        <x:f t="shared" si="2"/>
        <x:v>5</x:v>
      </x:c>
      <x:c r="C66" s="120">
        <x:f t="shared" si="3"/>
        <x:v>207.5</x:v>
      </x:c>
      <x:c r="D66" s="124">
        <x:f t="shared" si="4"/>
        <x:v>1.4250000000000001E-3</x:v>
      </x:c>
      <x:c r="E66" s="122">
        <x:f t="shared" si="5"/>
        <x:v>64.740022141309339</x:v>
      </x:c>
      <x:c r="F66" s="120">
        <x:f t="shared" si="6"/>
        <x:v>0</x:v>
      </x:c>
      <x:c r="G66" s="122">
        <x:f t="shared" si="7"/>
        <x:v>64.740022141309339</x:v>
      </x:c>
      <x:c r="H66" s="122">
        <x:f t="shared" si="8"/>
        <x:v>113.29503874729134</x:v>
      </x:c>
      <x:c r="I66" s="125">
        <x:f t="shared" si="9"/>
        <x:v>142.5</x:v>
      </x:c>
      <x:c r="J66" s="125">
        <x:f t="shared" si="10"/>
        <x:v>16.144543021489017</x:v>
      </x:c>
    </x:row>
    <x:row r="67">
      <x:c r="A67" s="120">
        <x:f t="shared" si="1"/>
        <x:v>43</x:v>
      </x:c>
      <x:c r="B67" s="120">
        <x:f t="shared" si="2"/>
        <x:v>5</x:v>
      </x:c>
      <x:c r="C67" s="120">
        <x:f t="shared" si="3"/>
        <x:v>212.5</x:v>
      </x:c>
      <x:c r="D67" s="124">
        <x:f t="shared" si="4"/>
        <x:v>1.3750000000000001E-3</x:v>
      </x:c>
      <x:c r="E67" s="122">
        <x:f t="shared" si="5"/>
        <x:v>62.468442417052877</x:v>
      </x:c>
      <x:c r="F67" s="120">
        <x:f t="shared" si="6"/>
        <x:v>0</x:v>
      </x:c>
      <x:c r="G67" s="122">
        <x:f t="shared" si="7"/>
        <x:v>62.468442417052877</x:v>
      </x:c>
      <x:c r="H67" s="122">
        <x:f t="shared" si="8"/>
        <x:v>109.31977422984252</x:v>
      </x:c>
      <x:c r="I67" s="125">
        <x:f t="shared" si="9"/>
        <x:v>137.5</x:v>
      </x:c>
      <x:c r="J67" s="125">
        <x:f t="shared" si="10"/>
        <x:v>15.031468956603346</x:v>
      </x:c>
    </x:row>
    <x:row r="68">
      <x:c r="A68" s="120">
        <x:f t="shared" si="1"/>
        <x:v>44</x:v>
      </x:c>
      <x:c r="B68" s="120">
        <x:f t="shared" si="2"/>
        <x:v>5</x:v>
      </x:c>
      <x:c r="C68" s="120">
        <x:f t="shared" si="3"/>
        <x:v>217.5</x:v>
      </x:c>
      <x:c r="D68" s="124">
        <x:f t="shared" si="4"/>
        <x:v>1.325E-3</x:v>
      </x:c>
      <x:c r="E68" s="122">
        <x:f t="shared" si="5"/>
        <x:v>60.196862692796401</x:v>
      </x:c>
      <x:c r="F68" s="120">
        <x:f t="shared" si="6"/>
        <x:v>0</x:v>
      </x:c>
      <x:c r="G68" s="122">
        <x:f t="shared" si="7"/>
        <x:v>60.196862692796401</x:v>
      </x:c>
      <x:c r="H68" s="122">
        <x:f t="shared" si="8"/>
        <x:v>105.3445097123937</x:v>
      </x:c>
      <x:c r="I68" s="125">
        <x:f t="shared" si="9"/>
        <x:v>132.5</x:v>
      </x:c>
      <x:c r="J68" s="125">
        <x:f t="shared" si="10"/>
        <x:v>13.958147536892165</x:v>
      </x:c>
    </x:row>
    <x:row r="69">
      <x:c r="A69" s="120">
        <x:f t="shared" si="1"/>
        <x:v>45</x:v>
      </x:c>
      <x:c r="B69" s="120">
        <x:f t="shared" si="2"/>
        <x:v>5</x:v>
      </x:c>
      <x:c r="C69" s="120">
        <x:f t="shared" si="3"/>
        <x:v>222.5</x:v>
      </x:c>
      <x:c r="D69" s="124">
        <x:f t="shared" si="4"/>
        <x:v>1.2750000000000001E-3</x:v>
      </x:c>
      <x:c r="E69" s="122">
        <x:f t="shared" si="5"/>
        <x:v>57.925282968539939</x:v>
      </x:c>
      <x:c r="F69" s="120">
        <x:f t="shared" si="6"/>
        <x:v>0</x:v>
      </x:c>
      <x:c r="G69" s="122">
        <x:f t="shared" si="7"/>
        <x:v>57.925282968539939</x:v>
      </x:c>
      <x:c r="H69" s="122">
        <x:f t="shared" si="8"/>
        <x:v>101.36924519494488</x:v>
      </x:c>
      <x:c r="I69" s="125">
        <x:f t="shared" si="9"/>
        <x:v>127.5</x:v>
      </x:c>
      <x:c r="J69" s="125">
        <x:f t="shared" si="10"/>
        <x:v>12.924578762355472</x:v>
      </x:c>
    </x:row>
    <x:row r="70">
      <x:c r="A70" s="120">
        <x:f t="shared" si="1"/>
        <x:v>46</x:v>
      </x:c>
      <x:c r="B70" s="120">
        <x:f t="shared" si="2"/>
        <x:v>5</x:v>
      </x:c>
      <x:c r="C70" s="120">
        <x:f t="shared" si="3"/>
        <x:v>227.5</x:v>
      </x:c>
      <x:c r="D70" s="124">
        <x:f t="shared" si="4"/>
        <x:v>1.225E-3</x:v>
      </x:c>
      <x:c r="E70" s="122">
        <x:f t="shared" si="5"/>
        <x:v>55.653703244283463</x:v>
      </x:c>
      <x:c r="F70" s="120">
        <x:f t="shared" si="6"/>
        <x:v>0</x:v>
      </x:c>
      <x:c r="G70" s="122">
        <x:f t="shared" si="7"/>
        <x:v>55.653703244283463</x:v>
      </x:c>
      <x:c r="H70" s="122">
        <x:f t="shared" si="8"/>
        <x:v>97.39398067749606</x:v>
      </x:c>
      <x:c r="I70" s="125">
        <x:f t="shared" si="9"/>
        <x:v>122.5</x:v>
      </x:c>
      <x:c r="J70" s="125">
        <x:f t="shared" si="10"/>
        <x:v>11.930762632993268</x:v>
      </x:c>
    </x:row>
    <x:row r="71">
      <x:c r="A71" s="120">
        <x:f t="shared" si="1"/>
        <x:v>47</x:v>
      </x:c>
      <x:c r="B71" s="120">
        <x:f t="shared" si="2"/>
        <x:v>5</x:v>
      </x:c>
      <x:c r="C71" s="120">
        <x:f t="shared" si="3"/>
        <x:v>232.5</x:v>
      </x:c>
      <x:c r="D71" s="124">
        <x:f t="shared" si="4"/>
        <x:v>1.175E-3</x:v>
      </x:c>
      <x:c r="E71" s="122">
        <x:f t="shared" si="5"/>
        <x:v>53.382123520027001</x:v>
      </x:c>
      <x:c r="F71" s="120">
        <x:f t="shared" si="6"/>
        <x:v>0</x:v>
      </x:c>
      <x:c r="G71" s="122">
        <x:f t="shared" si="7"/>
        <x:v>53.382123520027001</x:v>
      </x:c>
      <x:c r="H71" s="122">
        <x:f t="shared" si="8"/>
        <x:v>93.418716160047239</x:v>
      </x:c>
      <x:c r="I71" s="125">
        <x:f t="shared" si="9"/>
        <x:v>117.5</x:v>
      </x:c>
      <x:c r="J71" s="125">
        <x:f t="shared" si="10"/>
        <x:v>10.976699148805549</x:v>
      </x:c>
    </x:row>
    <x:row r="72">
      <x:c r="A72" s="120">
        <x:f t="shared" si="1"/>
        <x:v>48</x:v>
      </x:c>
      <x:c r="B72" s="120">
        <x:f t="shared" si="2"/>
        <x:v>5</x:v>
      </x:c>
      <x:c r="C72" s="120">
        <x:f t="shared" si="3"/>
        <x:v>237.5</x:v>
      </x:c>
      <x:c r="D72" s="124">
        <x:f t="shared" si="4"/>
        <x:v>1.1249999999999999E-3</x:v>
      </x:c>
      <x:c r="E72" s="122">
        <x:f t="shared" si="5"/>
        <x:v>51.110543795770525</x:v>
      </x:c>
      <x:c r="F72" s="120">
        <x:f t="shared" si="6"/>
        <x:v>0</x:v>
      </x:c>
      <x:c r="G72" s="122">
        <x:f t="shared" si="7"/>
        <x:v>51.110543795770525</x:v>
      </x:c>
      <x:c r="H72" s="122">
        <x:f t="shared" si="8"/>
        <x:v>89.443451642598404</x:v>
      </x:c>
      <x:c r="I72" s="125">
        <x:f t="shared" si="9"/>
        <x:v>112.5</x:v>
      </x:c>
      <x:c r="J72" s="125">
        <x:f t="shared" si="10"/>
        <x:v>10.06238830979232</x:v>
      </x:c>
    </x:row>
    <x:row r="73">
      <x:c r="A73" s="120">
        <x:f t="shared" si="1"/>
        <x:v>49</x:v>
      </x:c>
      <x:c r="B73" s="120">
        <x:f t="shared" si="2"/>
        <x:v>5</x:v>
      </x:c>
      <x:c r="C73" s="120">
        <x:f t="shared" si="3"/>
        <x:v>242.5</x:v>
      </x:c>
      <x:c r="D73" s="124">
        <x:f t="shared" si="4"/>
        <x:v>1.075E-3</x:v>
      </x:c>
      <x:c r="E73" s="122">
        <x:f t="shared" si="5"/>
        <x:v>48.838964071514063</x:v>
      </x:c>
      <x:c r="F73" s="120">
        <x:f t="shared" si="6"/>
        <x:v>0</x:v>
      </x:c>
      <x:c r="G73" s="122">
        <x:f t="shared" si="7"/>
        <x:v>48.838964071514063</x:v>
      </x:c>
      <x:c r="H73" s="122">
        <x:f t="shared" si="8"/>
        <x:v>85.468187125149626</x:v>
      </x:c>
      <x:c r="I73" s="125">
        <x:f t="shared" si="9"/>
        <x:v>107.5</x:v>
      </x:c>
      <x:c r="J73" s="125">
        <x:f t="shared" si="10"/>
        <x:v>9.1878301159535845</x:v>
      </x:c>
    </x:row>
    <x:row r="74">
      <x:c r="A74" s="120">
        <x:f t="shared" si="1"/>
        <x:v>50</x:v>
      </x:c>
      <x:c r="B74" s="120">
        <x:f t="shared" si="2"/>
        <x:v>5</x:v>
      </x:c>
      <x:c r="C74" s="120">
        <x:f t="shared" si="3"/>
        <x:v>247.5</x:v>
      </x:c>
      <x:c r="D74" s="124">
        <x:f t="shared" si="4"/>
        <x:v>1.0250000000000001E-3</x:v>
      </x:c>
      <x:c r="E74" s="122">
        <x:f t="shared" si="5"/>
        <x:v>46.567384347257601</x:v>
      </x:c>
      <x:c r="F74" s="120">
        <x:f t="shared" si="6"/>
        <x:v>0</x:v>
      </x:c>
      <x:c r="G74" s="122">
        <x:f t="shared" si="7"/>
        <x:v>46.567384347257601</x:v>
      </x:c>
      <x:c r="H74" s="122">
        <x:f t="shared" si="8"/>
        <x:v>81.492922607700805</x:v>
      </x:c>
      <x:c r="I74" s="125">
        <x:f t="shared" si="9"/>
        <x:v>102.5</x:v>
      </x:c>
      <x:c r="J74" s="125">
        <x:f t="shared" si="10"/>
        <x:v>8.3530245672893333</x:v>
      </x:c>
    </x:row>
    <x:row r="75">
      <x:c r="A75" s="120">
        <x:f t="shared" si="1"/>
        <x:v>51</x:v>
      </x:c>
      <x:c r="B75" s="120">
        <x:f t="shared" si="2"/>
        <x:v>5</x:v>
      </x:c>
      <x:c r="C75" s="120">
        <x:f t="shared" si="3"/>
        <x:v>252.5</x:v>
      </x:c>
      <x:c r="D75" s="124">
        <x:f t="shared" si="4"/>
        <x:v>9.7499999999999996E-4</x:v>
      </x:c>
      <x:c r="E75" s="122">
        <x:f t="shared" si="5"/>
        <x:v>44.295804623001125</x:v>
      </x:c>
      <x:c r="F75" s="120">
        <x:f t="shared" si="6"/>
        <x:v>0</x:v>
      </x:c>
      <x:c r="G75" s="122">
        <x:f t="shared" si="7"/>
        <x:v>44.295804623001125</x:v>
      </x:c>
      <x:c r="H75" s="122">
        <x:f t="shared" si="8"/>
        <x:v>77.51765809025197</x:v>
      </x:c>
      <x:c r="I75" s="125">
        <x:f t="shared" si="9"/>
        <x:v>97.5</x:v>
      </x:c>
      <x:c r="J75" s="125">
        <x:f t="shared" si="10"/>
        <x:v>7.5579716637995666</x:v>
      </x:c>
    </x:row>
    <x:row r="76">
      <x:c r="A76" s="120">
        <x:f t="shared" si="1"/>
        <x:v>52</x:v>
      </x:c>
      <x:c r="B76" s="120">
        <x:f t="shared" si="2"/>
        <x:v>5</x:v>
      </x:c>
      <x:c r="C76" s="120">
        <x:f t="shared" si="3"/>
        <x:v>257.5</x:v>
      </x:c>
      <x:c r="D76" s="124">
        <x:f t="shared" si="4"/>
        <x:v>9.2499999999999993E-4</x:v>
      </x:c>
      <x:c r="E76" s="122">
        <x:f t="shared" si="5"/>
        <x:v>42.024224898744656</x:v>
      </x:c>
      <x:c r="F76" s="120">
        <x:f t="shared" si="6"/>
        <x:v>0</x:v>
      </x:c>
      <x:c r="G76" s="122">
        <x:f t="shared" si="7"/>
        <x:v>42.024224898744656</x:v>
      </x:c>
      <x:c r="H76" s="122">
        <x:f t="shared" si="8"/>
        <x:v>73.542393572803149</x:v>
      </x:c>
      <x:c r="I76" s="125">
        <x:f t="shared" si="9"/>
        <x:v>92.5</x:v>
      </x:c>
      <x:c r="J76" s="125">
        <x:f t="shared" si="10"/>
        <x:v>6.8026714054842916</x:v>
      </x:c>
    </x:row>
    <x:row r="77">
      <x:c r="A77" s="120">
        <x:f t="shared" si="1"/>
        <x:v>53</x:v>
      </x:c>
      <x:c r="B77" s="120">
        <x:f t="shared" si="2"/>
        <x:v>5</x:v>
      </x:c>
      <x:c r="C77" s="120">
        <x:f t="shared" si="3"/>
        <x:v>262.5</x:v>
      </x:c>
      <x:c r="D77" s="124">
        <x:f t="shared" si="4"/>
        <x:v>8.7500000000000002E-4</x:v>
      </x:c>
      <x:c r="E77" s="122">
        <x:f t="shared" si="5"/>
        <x:v>39.752645174488194</x:v>
      </x:c>
      <x:c r="F77" s="120">
        <x:f t="shared" si="6"/>
        <x:v>0</x:v>
      </x:c>
      <x:c r="G77" s="122">
        <x:f t="shared" si="7"/>
        <x:v>39.752645174488194</x:v>
      </x:c>
      <x:c r="H77" s="122">
        <x:f t="shared" si="8"/>
        <x:v>69.567129055354343</x:v>
      </x:c>
      <x:c r="I77" s="125">
        <x:f t="shared" si="9"/>
        <x:v>87.5</x:v>
      </x:c>
      <x:c r="J77" s="125">
        <x:f t="shared" si="10"/>
        <x:v>6.0871237923435046</x:v>
      </x:c>
    </x:row>
    <x:row r="78">
      <x:c r="A78" s="120">
        <x:f t="shared" si="1"/>
        <x:v>54</x:v>
      </x:c>
      <x:c r="B78" s="120">
        <x:f t="shared" si="2"/>
        <x:v>5</x:v>
      </x:c>
      <x:c r="C78" s="120">
        <x:f t="shared" si="3"/>
        <x:v>267.5</x:v>
      </x:c>
      <x:c r="D78" s="124">
        <x:f t="shared" si="4"/>
        <x:v>8.25E-4</x:v>
      </x:c>
      <x:c r="E78" s="122">
        <x:f t="shared" si="5"/>
        <x:v>37.481065450231725</x:v>
      </x:c>
      <x:c r="F78" s="120">
        <x:f t="shared" si="6"/>
        <x:v>0</x:v>
      </x:c>
      <x:c r="G78" s="122">
        <x:f t="shared" si="7"/>
        <x:v>37.481065450231725</x:v>
      </x:c>
      <x:c r="H78" s="122">
        <x:f t="shared" si="8"/>
        <x:v>65.591864537905522</x:v>
      </x:c>
      <x:c r="I78" s="125">
        <x:f t="shared" si="9"/>
        <x:v>82.5</x:v>
      </x:c>
      <x:c r="J78" s="125">
        <x:f t="shared" si="10"/>
        <x:v>5.4113288243772057</x:v>
      </x:c>
    </x:row>
    <x:row r="79">
      <x:c r="A79" s="120">
        <x:f t="shared" si="1"/>
        <x:v>55</x:v>
      </x:c>
      <x:c r="B79" s="120">
        <x:f t="shared" si="2"/>
        <x:v>5</x:v>
      </x:c>
      <x:c r="C79" s="120">
        <x:f t="shared" si="3"/>
        <x:v>272.5</x:v>
      </x:c>
      <x:c r="D79" s="124">
        <x:f t="shared" si="4"/>
        <x:v>7.7499999999999997E-4</x:v>
      </x:c>
      <x:c r="E79" s="122">
        <x:f t="shared" si="5"/>
        <x:v>35.209485725975256</x:v>
      </x:c>
      <x:c r="F79" s="120">
        <x:f t="shared" si="6"/>
        <x:v>0</x:v>
      </x:c>
      <x:c r="G79" s="122">
        <x:f t="shared" si="7"/>
        <x:v>35.209485725975256</x:v>
      </x:c>
      <x:c r="H79" s="122">
        <x:f t="shared" si="8"/>
        <x:v>61.616600020456694</x:v>
      </x:c>
      <x:c r="I79" s="125">
        <x:f t="shared" si="9"/>
        <x:v>77.5</x:v>
      </x:c>
      <x:c r="J79" s="125">
        <x:f t="shared" si="10"/>
        <x:v>4.775286501585394</x:v>
      </x:c>
    </x:row>
    <x:row r="80">
      <x:c r="A80" s="120">
        <x:f t="shared" si="1"/>
        <x:v>56</x:v>
      </x:c>
      <x:c r="B80" s="120">
        <x:f t="shared" si="2"/>
        <x:v>5</x:v>
      </x:c>
      <x:c r="C80" s="120">
        <x:f t="shared" si="3"/>
        <x:v>277.5</x:v>
      </x:c>
      <x:c r="D80" s="124">
        <x:f t="shared" si="4"/>
        <x:v>7.2500000000000006E-4</x:v>
      </x:c>
      <x:c r="E80" s="122">
        <x:f t="shared" si="5"/>
        <x:v>32.937906001718787</x:v>
      </x:c>
      <x:c r="F80" s="120">
        <x:f t="shared" si="6"/>
        <x:v>0</x:v>
      </x:c>
      <x:c r="G80" s="122">
        <x:f t="shared" si="7"/>
        <x:v>32.937906001718787</x:v>
      </x:c>
      <x:c r="H80" s="122">
        <x:f t="shared" si="8"/>
        <x:v>57.641335503007873</x:v>
      </x:c>
      <x:c r="I80" s="125">
        <x:f t="shared" si="9"/>
        <x:v>72.5</x:v>
      </x:c>
      <x:c r="J80" s="125">
        <x:f t="shared" si="10"/>
        <x:v>4.1789968239680713</x:v>
      </x:c>
    </x:row>
    <x:row r="81">
      <x:c r="A81" s="120">
        <x:f t="shared" si="1"/>
        <x:v>57</x:v>
      </x:c>
      <x:c r="B81" s="120">
        <x:f t="shared" si="2"/>
        <x:v>5</x:v>
      </x:c>
      <x:c r="C81" s="120">
        <x:f t="shared" si="3"/>
        <x:v>282.5</x:v>
      </x:c>
      <x:c r="D81" s="124">
        <x:f t="shared" si="4"/>
        <x:v>6.7500000000000004E-4</x:v>
      </x:c>
      <x:c r="E81" s="122">
        <x:f t="shared" si="5"/>
        <x:v>30.666326277462321</x:v>
      </x:c>
      <x:c r="F81" s="120">
        <x:f t="shared" si="6"/>
        <x:v>0</x:v>
      </x:c>
      <x:c r="G81" s="122">
        <x:f t="shared" si="7"/>
        <x:v>30.666326277462321</x:v>
      </x:c>
      <x:c r="H81" s="122">
        <x:f t="shared" si="8"/>
        <x:v>53.66607098555906</x:v>
      </x:c>
      <x:c r="I81" s="125">
        <x:f t="shared" si="9"/>
        <x:v>67.5</x:v>
      </x:c>
      <x:c r="J81" s="125">
        <x:f t="shared" si="10"/>
        <x:v>3.6224597915252366</x:v>
      </x:c>
    </x:row>
    <x:row r="82">
      <x:c r="A82" s="120">
        <x:f t="shared" si="1"/>
        <x:v>58</x:v>
      </x:c>
      <x:c r="B82" s="120">
        <x:f t="shared" si="2"/>
        <x:v>5</x:v>
      </x:c>
      <x:c r="C82" s="120">
        <x:f t="shared" si="3"/>
        <x:v>287.5</x:v>
      </x:c>
      <x:c r="D82" s="124">
        <x:f t="shared" si="4"/>
        <x:v>6.2500000000000001E-4</x:v>
      </x:c>
      <x:c r="E82" s="122">
        <x:f t="shared" si="5"/>
        <x:v>28.394746553205852</x:v>
      </x:c>
      <x:c r="F82" s="120">
        <x:f t="shared" si="6"/>
        <x:v>0</x:v>
      </x:c>
      <x:c r="G82" s="122">
        <x:f t="shared" si="7"/>
        <x:v>28.394746553205852</x:v>
      </x:c>
      <x:c r="H82" s="122">
        <x:f t="shared" si="8"/>
        <x:v>49.690806468110239</x:v>
      </x:c>
      <x:c r="I82" s="125">
        <x:f t="shared" si="9"/>
        <x:v>62.5</x:v>
      </x:c>
      <x:c r="J82" s="125">
        <x:f t="shared" si="10"/>
        <x:v>3.1056754042568899</x:v>
      </x:c>
    </x:row>
    <x:row r="83">
      <x:c r="A83" s="120">
        <x:f t="shared" si="1"/>
        <x:v>59</x:v>
      </x:c>
      <x:c r="B83" s="120">
        <x:f t="shared" si="2"/>
        <x:v>5</x:v>
      </x:c>
      <x:c r="C83" s="120">
        <x:f t="shared" si="3"/>
        <x:v>292.5</x:v>
      </x:c>
      <x:c r="D83" s="124">
        <x:f t="shared" si="4"/>
        <x:v>5.7499999999999999E-4</x:v>
      </x:c>
      <x:c r="E83" s="122">
        <x:f t="shared" si="5"/>
        <x:v>26.123166828949383</x:v>
      </x:c>
      <x:c r="F83" s="120">
        <x:f t="shared" si="6"/>
        <x:v>0</x:v>
      </x:c>
      <x:c r="G83" s="122">
        <x:f t="shared" si="7"/>
        <x:v>26.123166828949383</x:v>
      </x:c>
      <x:c r="H83" s="122">
        <x:f t="shared" si="8"/>
        <x:v>45.715541950661418</x:v>
      </x:c>
      <x:c r="I83" s="125">
        <x:f t="shared" si="9"/>
        <x:v>57.5</x:v>
      </x:c>
      <x:c r="J83" s="125">
        <x:f t="shared" si="10"/>
        <x:v>2.6286436621630314</x:v>
      </x:c>
    </x:row>
    <x:row r="84">
      <x:c r="A84" s="120">
        <x:f t="shared" si="1"/>
        <x:v>60</x:v>
      </x:c>
      <x:c r="B84" s="120">
        <x:f t="shared" si="2"/>
        <x:v>5</x:v>
      </x:c>
      <x:c r="C84" s="120">
        <x:f t="shared" si="3"/>
        <x:v>297.5</x:v>
      </x:c>
      <x:c r="D84" s="124">
        <x:f t="shared" si="4"/>
        <x:v>5.2499999999999997E-4</x:v>
      </x:c>
      <x:c r="E84" s="122">
        <x:f t="shared" si="5"/>
        <x:v>23.851587104692914</x:v>
      </x:c>
      <x:c r="F84" s="120">
        <x:f t="shared" si="6"/>
        <x:v>0</x:v>
      </x:c>
      <x:c r="G84" s="122">
        <x:f t="shared" si="7"/>
        <x:v>23.851587104692914</x:v>
      </x:c>
      <x:c r="H84" s="122">
        <x:f t="shared" si="8"/>
        <x:v>41.740277433212597</x:v>
      </x:c>
      <x:c r="I84" s="125">
        <x:f t="shared" si="9"/>
        <x:v>52.5</x:v>
      </x:c>
      <x:c r="J84" s="125">
        <x:f t="shared" si="10"/>
        <x:v>2.1913645652436613</x:v>
      </x:c>
    </x:row>
    <x:row r="85">
      <x:c r="A85" s="120">
        <x:f t="shared" si="1"/>
        <x:v>61</x:v>
      </x:c>
      <x:c r="B85" s="120">
        <x:f t="shared" si="2"/>
        <x:v>5</x:v>
      </x:c>
      <x:c r="C85" s="120">
        <x:f t="shared" si="3"/>
        <x:v>302.5</x:v>
      </x:c>
      <x:c r="D85" s="124">
        <x:f t="shared" si="4"/>
        <x:v>4.75E-4</x:v>
      </x:c>
      <x:c r="E85" s="122">
        <x:f t="shared" si="5"/>
        <x:v>21.580007380436445</x:v>
      </x:c>
      <x:c r="F85" s="120">
        <x:f t="shared" si="6"/>
        <x:v>0</x:v>
      </x:c>
      <x:c r="G85" s="122">
        <x:f t="shared" si="7"/>
        <x:v>21.580007380436445</x:v>
      </x:c>
      <x:c r="H85" s="122">
        <x:f t="shared" si="8"/>
        <x:v>37.765012915763776</x:v>
      </x:c>
      <x:c r="I85" s="125">
        <x:f t="shared" si="9"/>
        <x:v>47.5</x:v>
      </x:c>
      <x:c r="J85" s="125">
        <x:f t="shared" si="10"/>
        <x:v>1.7938381134987795</x:v>
      </x:c>
    </x:row>
    <x:row r="86">
      <x:c r="A86" s="120">
        <x:f t="shared" si="1"/>
        <x:v>62</x:v>
      </x:c>
      <x:c r="B86" s="120">
        <x:f t="shared" si="2"/>
        <x:v>5</x:v>
      </x:c>
      <x:c r="C86" s="120">
        <x:f t="shared" si="3"/>
        <x:v>307.5</x:v>
      </x:c>
      <x:c r="D86" s="124">
        <x:f t="shared" si="4"/>
        <x:v>4.2499999999999998E-4</x:v>
      </x:c>
      <x:c r="E86" s="122">
        <x:f t="shared" si="5"/>
        <x:v>19.308427656179976</x:v>
      </x:c>
      <x:c r="F86" s="120">
        <x:f t="shared" si="6"/>
        <x:v>0</x:v>
      </x:c>
      <x:c r="G86" s="122">
        <x:f t="shared" si="7"/>
        <x:v>19.308427656179976</x:v>
      </x:c>
      <x:c r="H86" s="122">
        <x:f t="shared" si="8"/>
        <x:v>33.789748398314956</x:v>
      </x:c>
      <x:c r="I86" s="125">
        <x:f t="shared" si="9"/>
        <x:v>42.5</x:v>
      </x:c>
      <x:c r="J86" s="125">
        <x:f t="shared" si="10"/>
        <x:v>1.4360643069283856</x:v>
      </x:c>
    </x:row>
    <x:row r="87">
      <x:c r="A87" s="120">
        <x:f t="shared" si="1"/>
        <x:v>63</x:v>
      </x:c>
      <x:c r="B87" s="120">
        <x:f t="shared" si="2"/>
        <x:v>5</x:v>
      </x:c>
      <x:c r="C87" s="120">
        <x:f t="shared" si="3"/>
        <x:v>312.5</x:v>
      </x:c>
      <x:c r="D87" s="124">
        <x:f t="shared" si="4"/>
        <x:v>3.7500000000000001E-4</x:v>
      </x:c>
      <x:c r="E87" s="122">
        <x:f t="shared" si="5"/>
        <x:v>17.036847931923511</x:v>
      </x:c>
      <x:c r="F87" s="120">
        <x:f t="shared" si="6"/>
        <x:v>0</x:v>
      </x:c>
      <x:c r="G87" s="122">
        <x:f t="shared" si="7"/>
        <x:v>17.036847931923511</x:v>
      </x:c>
      <x:c r="H87" s="122">
        <x:f t="shared" si="8"/>
        <x:v>29.814483880866142</x:v>
      </x:c>
      <x:c r="I87" s="125">
        <x:f t="shared" si="9"/>
        <x:v>37.5</x:v>
      </x:c>
      <x:c r="J87" s="125">
        <x:f t="shared" si="10"/>
        <x:v>1.1180431455324804</x:v>
      </x:c>
    </x:row>
    <x:row r="88">
      <x:c r="A88" s="120">
        <x:f t="shared" si="1"/>
        <x:v>64</x:v>
      </x:c>
      <x:c r="B88" s="120">
        <x:f t="shared" si="2"/>
        <x:v>5</x:v>
      </x:c>
      <x:c r="C88" s="120">
        <x:f t="shared" si="3"/>
        <x:v>317.5</x:v>
      </x:c>
      <x:c r="D88" s="124">
        <x:f t="shared" si="4"/>
        <x:v>3.2499999999999999E-4</x:v>
      </x:c>
      <x:c r="E88" s="122">
        <x:f t="shared" si="5"/>
        <x:v>14.765268207667042</x:v>
      </x:c>
      <x:c r="F88" s="120">
        <x:f t="shared" si="6"/>
        <x:v>0</x:v>
      </x:c>
      <x:c r="G88" s="122">
        <x:f t="shared" si="7"/>
        <x:v>14.765268207667042</x:v>
      </x:c>
      <x:c r="H88" s="122">
        <x:f t="shared" si="8"/>
        <x:v>25.839219363417325</x:v>
      </x:c>
      <x:c r="I88" s="125">
        <x:f t="shared" si="9"/>
        <x:v>32.5</x:v>
      </x:c>
      <x:c r="J88" s="125">
        <x:f t="shared" si="10"/>
        <x:v>0.83977462931106295</x:v>
      </x:c>
    </x:row>
    <x:row r="89">
      <x:c r="A89" s="120">
        <x:f t="shared" si="1"/>
        <x:v>65</x:v>
      </x:c>
      <x:c r="B89" s="120">
        <x:f t="shared" si="2"/>
        <x:v>5</x:v>
      </x:c>
      <x:c r="C89" s="120">
        <x:f t="shared" si="3"/>
        <x:v>322.5</x:v>
      </x:c>
      <x:c r="D89" s="124">
        <x:f t="shared" si="4"/>
        <x:v>2.7500000000000002E-4</x:v>
      </x:c>
      <x:c r="E89" s="122">
        <x:f t="shared" si="5"/>
        <x:v>12.493688483410574</x:v>
      </x:c>
      <x:c r="F89" s="120">
        <x:f t="shared" si="6"/>
        <x:v>0</x:v>
      </x:c>
      <x:c r="G89" s="122">
        <x:f t="shared" si="7"/>
        <x:v>12.493688483410574</x:v>
      </x:c>
      <x:c r="H89" s="122">
        <x:f t="shared" si="8"/>
        <x:v>21.863954845968507</x:v>
      </x:c>
      <x:c r="I89" s="125">
        <x:f t="shared" si="9"/>
        <x:v>27.5</x:v>
      </x:c>
      <x:c r="J89" s="125">
        <x:f t="shared" si="10"/>
        <x:v>0.60125875826413389</x:v>
      </x:c>
    </x:row>
    <x:row r="90">
      <x:c r="A90" s="120">
        <x:f t="shared" si="1"/>
        <x:v>66</x:v>
      </x:c>
      <x:c r="B90" s="120">
        <x:f t="shared" si="2"/>
        <x:v>5</x:v>
      </x:c>
      <x:c r="C90" s="120">
        <x:f t="shared" si="3"/>
        <x:v>327.5</x:v>
      </x:c>
      <x:c r="D90" s="124">
        <x:f t="shared" si="4"/>
        <x:v>2.2499999999999999E-4</x:v>
      </x:c>
      <x:c r="E90" s="122">
        <x:f t="shared" si="5"/>
        <x:v>10.222108759154105</x:v>
      </x:c>
      <x:c r="F90" s="120">
        <x:f t="shared" si="6"/>
        <x:v>0</x:v>
      </x:c>
      <x:c r="G90" s="122">
        <x:f t="shared" si="7"/>
        <x:v>10.222108759154105</x:v>
      </x:c>
      <x:c r="H90" s="122">
        <x:f t="shared" si="8"/>
        <x:v>17.888690328519687</x:v>
      </x:c>
      <x:c r="I90" s="125">
        <x:f t="shared" si="9"/>
        <x:v>22.5</x:v>
      </x:c>
      <x:c r="J90" s="125">
        <x:f t="shared" si="10"/>
        <x:v>0.40249553239169295</x:v>
      </x:c>
    </x:row>
    <x:row r="91">
      <x:c r="A91" s="120">
        <x:f t="shared" si="1"/>
        <x:v>67</x:v>
      </x:c>
      <x:c r="B91" s="120">
        <x:f t="shared" si="2"/>
        <x:v>5</x:v>
      </x:c>
      <x:c r="C91" s="120">
        <x:f t="shared" si="3"/>
        <x:v>332.5</x:v>
      </x:c>
      <x:c r="D91" s="124">
        <x:f t="shared" si="4"/>
        <x:v>1.75E-4</x:v>
      </x:c>
      <x:c r="E91" s="122">
        <x:f t="shared" si="5"/>
        <x:v>7.9505290348976381</x:v>
      </x:c>
      <x:c r="F91" s="120">
        <x:f t="shared" si="6"/>
        <x:v>0</x:v>
      </x:c>
      <x:c r="G91" s="122">
        <x:f t="shared" si="7"/>
        <x:v>7.9505290348976381</x:v>
      </x:c>
      <x:c r="H91" s="122">
        <x:f t="shared" si="8"/>
        <x:v>13.913425811070868</x:v>
      </x:c>
      <x:c r="I91" s="125">
        <x:f t="shared" si="9"/>
        <x:v>17.5</x:v>
      </x:c>
      <x:c r="J91" s="125">
        <x:f t="shared" si="10"/>
        <x:v>0.24348495169374018</x:v>
      </x:c>
    </x:row>
    <x:row r="92">
      <x:c r="A92" s="120">
        <x:f t="shared" si="1"/>
        <x:v>68</x:v>
      </x:c>
      <x:c r="B92" s="120">
        <x:f t="shared" si="2"/>
        <x:v>5</x:v>
      </x:c>
      <x:c r="C92" s="120">
        <x:f t="shared" si="3"/>
        <x:v>337.5</x:v>
      </x:c>
      <x:c r="D92" s="124">
        <x:f t="shared" si="4"/>
        <x:v>1.25E-4</x:v>
      </x:c>
      <x:c r="E92" s="122">
        <x:f t="shared" si="5"/>
        <x:v>5.6789493106411699</x:v>
      </x:c>
      <x:c r="F92" s="120">
        <x:f t="shared" si="6"/>
        <x:v>0</x:v>
      </x:c>
      <x:c r="G92" s="122">
        <x:f t="shared" si="7"/>
        <x:v>5.6789493106411699</x:v>
      </x:c>
      <x:c r="H92" s="122">
        <x:f t="shared" si="8"/>
        <x:v>9.9381612936220485</x:v>
      </x:c>
      <x:c r="I92" s="125">
        <x:f t="shared" si="9"/>
        <x:v>12.5</x:v>
      </x:c>
      <x:c r="J92" s="125">
        <x:f t="shared" si="10"/>
        <x:v>0.12422701617027561</x:v>
      </x:c>
    </x:row>
    <x:row r="93">
      <x:c r="A93" s="120">
        <x:f t="shared" si="1"/>
        <x:v>69</x:v>
      </x:c>
      <x:c r="B93" s="120">
        <x:f t="shared" si="2"/>
        <x:v>5</x:v>
      </x:c>
      <x:c r="C93" s="120">
        <x:f t="shared" si="3"/>
        <x:v>342.5</x:v>
      </x:c>
      <x:c r="D93" s="124">
        <x:f t="shared" si="4"/>
        <x:v>7.4999999999999993E-5</x:v>
      </x:c>
      <x:c r="E93" s="122">
        <x:f t="shared" si="5"/>
        <x:v>3.4073695863847018</x:v>
      </x:c>
      <x:c r="F93" s="120">
        <x:f t="shared" si="6"/>
        <x:v>0</x:v>
      </x:c>
      <x:c r="G93" s="122">
        <x:f t="shared" si="7"/>
        <x:v>3.4073695863847018</x:v>
      </x:c>
      <x:c r="H93" s="122">
        <x:f t="shared" si="8"/>
        <x:v>5.9628967761732286</x:v>
      </x:c>
      <x:c r="I93" s="125">
        <x:f t="shared" si="9"/>
        <x:v>7.5</x:v>
      </x:c>
      <x:c r="J93" s="125">
        <x:f t="shared" si="10"/>
        <x:v>4.4721725821299213E-2</x:v>
      </x:c>
    </x:row>
    <x:row r="94">
      <x:c r="A94" s="103">
        <x:f t="shared" si="1"/>
        <x:v>70</x:v>
      </x:c>
      <x:c r="B94" s="103">
        <x:f t="shared" si="2"/>
        <x:v>5</x:v>
      </x:c>
      <x:c r="C94" s="103">
        <x:f t="shared" si="3"/>
        <x:v>347.5</x:v>
      </x:c>
      <x:c r="D94" s="134">
        <x:f t="shared" si="4"/>
        <x:v>2.5000000000000001E-5</x:v>
      </x:c>
      <x:c r="E94" s="128">
        <x:f t="shared" si="5"/>
        <x:v>1.1357898621282341</x:v>
      </x:c>
      <x:c r="F94" s="103">
        <x:f t="shared" si="6"/>
        <x:v>0</x:v>
      </x:c>
      <x:c r="G94" s="128">
        <x:f t="shared" si="7"/>
        <x:v>1.1357898621282341</x:v>
      </x:c>
      <x:c r="H94" s="128">
        <x:f t="shared" si="8"/>
        <x:v>1.9876322587244095</x:v>
      </x:c>
      <x:c r="I94" s="135">
        <x:f t="shared" si="9"/>
        <x:v>2.5</x:v>
      </x:c>
      <x:c r="J94" s="135">
        <x:f t="shared" si="10"/>
        <x:v>4.9690806468110239E-3</x:v>
      </x:c>
    </x:row>
    <x:row r="95">
      <x:c r="D95" s="136"/>
    </x:row>
  </x:sheetData>
  <x:mergeCells>
    <x:mergeCell ref="F14:G14"/>
    <x:mergeCell ref="A15:B15"/>
    <x:mergeCell ref="A1:G1"/>
    <x:mergeCell ref="A2:B2"/>
    <x:mergeCell ref="C2:D2"/>
    <x:mergeCell ref="A6:B6"/>
    <x:mergeCell ref="F6:H6"/>
    <x:mergeCell ref="F7:G7"/>
    <x:mergeCell ref="F8:G8"/>
    <x:mergeCell ref="F9:G9"/>
    <x:mergeCell ref="F10:G10"/>
    <x:mergeCell ref="F11:G11"/>
    <x:mergeCell ref="F12:G12"/>
    <x:mergeCell ref="F13:G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2.5703125" defaultRowHeight="15.75"/>
  <x:cols>
    <x:col min="10" max="10" width="16.7109375" customWidth="1"/>
    <x:col min="20" max="20" width="16.28515625" customWidth="1"/>
  </x:cols>
  <x:sheetData>
    <x:row r="1">
      <x:c r="A1" s="144" t="s">
        <x:v>0</x:v>
      </x:c>
      <x:c r="B1" s="145"/>
      <x:c r="C1" s="145"/>
      <x:c r="D1" s="145"/>
      <x:c r="E1" s="145"/>
      <x:c r="F1" s="145"/>
      <x:c r="G1" s="146"/>
    </x:row>
    <x:row r="2">
      <x:c r="A2" s="147" t="s">
        <x:v>1</x:v>
      </x:c>
      <x:c r="B2" s="146"/>
      <x:c r="C2" s="147" t="s">
        <x:v>2</x:v>
      </x:c>
      <x:c r="D2" s="156"/>
      <x:c r="E2" s="100" t="s">
        <x:v>104</x:v>
      </x:c>
      <x:c r="F2" s="101" t="s">
        <x:v>105</x:v>
      </x:c>
      <x:c r="G2" s="102" t="s">
        <x:v>77</x:v>
      </x:c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E3" s="103" t="s">
        <x:v>106</x:v>
      </x:c>
      <x:c r="F3" s="104" t="s">
        <x:v>107</x:v>
      </x:c>
      <x:c r="G3" s="105" t="n">
        <x:f>$B$11/($B$11+$D$5)*$D$17</x:f>
        <x:v>192.18181818181822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E4" s="106" t="s">
        <x:v>108</x:v>
      </x:c>
      <x:c r="F4" s="107" t="s">
        <x:v>109</x:v>
      </x:c>
      <x:c r="G4" s="108">
        <x:v>5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8" t="s">
        <x:v>60</x:v>
      </x:c>
      <x:c r="G6" s="145"/>
      <x:c r="H6" s="146"/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9" t="s">
        <x:v>91</x:v>
      </x:c>
      <x:c r="G7" s="160"/>
      <x:c r="H7" s="109" t="n">
        <x:f>SUMIF(H25:H94,"&gt;0",H25:H94)</x:f>
        <x:v>4849.663325770253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  <x:c r="F8" s="157" t="s">
        <x:v>92</x:v>
      </x:c>
      <x:c r="G8" s="141"/>
      <x:c r="H8" s="110" t="n">
        <x:f>SUMIF(H25:H94,"&lt;0",H25:H94)</x:f>
        <x:v>-454.41113907555706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  <x:c r="F9" s="157" t="s">
        <x:v>93</x:v>
      </x:c>
      <x:c r="G9" s="141"/>
      <x:c r="H9" s="111" t="n">
        <x:f>SUM(R25:R28)</x:f>
        <x:v>52.8486622181635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7" t="s">
        <x:v>94</x:v>
      </x:c>
      <x:c r="G10" s="141"/>
      <x:c r="H10" s="111" t="n">
        <x:f>H7+H8+H9</x:f>
        <x:v>4448.10084891286</x:v>
      </x:c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7" t="s">
        <x:v>110</x:v>
      </x:c>
      <x:c r="G11" s="141"/>
      <x:c r="H11" s="112" t="n">
        <x:f>SUM(J25:J94)</x:f>
        <x:v>636.1958658852693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7" t="s">
        <x:v>111</x:v>
      </x:c>
      <x:c r="G12" s="141"/>
      <x:c r="H12" s="111" t="n">
        <x:f>SUM(T25:T28)</x:f>
        <x:v>92.21744429679894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7" t="s">
        <x:v>112</x:v>
      </x:c>
      <x:c r="G13" s="141"/>
      <x:c r="H13" s="112" t="n">
        <x:f>H11+H12</x:f>
        <x:v>728.4133101820682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7" t="s">
        <x:v>95</x:v>
      </x:c>
      <x:c r="G14" s="141"/>
      <x:c r="H14" s="112" t="n">
        <x:f>H13+H10*($B$4/2-$G$3)/1000</x:f>
        <x:v>651.9868501416562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0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0"/>
        <x:v>402.12385965949352</x:v>
      </x:c>
    </x:row>
    <x:row r="19">
      <x:c r="A19" s="6" t="s">
        <x:v>47</x:v>
      </x:c>
      <x:c r="B19" s="33">
        <x:f t="shared" si="0"/>
        <x:v>402.12385965949352</x:v>
      </x:c>
    </x:row>
    <x:row r="20">
      <x:c r="A20" s="6" t="s">
        <x:v>50</x:v>
      </x:c>
      <x:c r="B20" s="33">
        <x:f t="shared" si="0"/>
        <x:v>804.24771931898704</x:v>
      </x:c>
    </x:row>
    <x:row r="21">
      <x:c r="A21" s="6" t="s">
        <x:v>55</x:v>
      </x:c>
      <x:c r="B21" s="33" t="n">
        <x:f>B17+B18+B19+B20</x:f>
        <x:v>2412.743157956961</x:v>
      </x:c>
    </x:row>
    <x:row r="24">
      <x:c r="A24" s="106" t="s">
        <x:v>113</x:v>
      </x:c>
      <x:c r="B24" s="106" t="s">
        <x:v>109</x:v>
      </x:c>
      <x:c r="C24" s="106" t="s">
        <x:v>114</x:v>
      </x:c>
      <x:c r="D24" s="106" t="s">
        <x:v>115</x:v>
      </x:c>
      <x:c r="E24" s="106" t="s">
        <x:v>116</x:v>
      </x:c>
      <x:c r="F24" s="106" t="s">
        <x:v>117</x:v>
      </x:c>
      <x:c r="G24" s="106" t="s">
        <x:v>118</x:v>
      </x:c>
      <x:c r="H24" s="106" t="s">
        <x:v>119</x:v>
      </x:c>
      <x:c r="I24" s="106" t="s">
        <x:v>120</x:v>
      </x:c>
      <x:c r="J24" s="106" t="s">
        <x:v>110</x:v>
      </x:c>
      <x:c r="L24" s="113" t="s">
        <x:v>121</x:v>
      </x:c>
      <x:c r="M24" s="114" t="s">
        <x:v>122</x:v>
      </x:c>
      <x:c r="N24" s="114" t="s">
        <x:v>123</x:v>
      </x:c>
      <x:c r="O24" s="114" t="s">
        <x:v>74</x:v>
      </x:c>
      <x:c r="P24" s="114" t="s">
        <x:v>124</x:v>
      </x:c>
      <x:c r="Q24" s="114" t="s">
        <x:v>125</x:v>
      </x:c>
      <x:c r="R24" s="114" t="s">
        <x:v>126</x:v>
      </x:c>
      <x:c r="S24" s="114" t="s">
        <x:v>127</x:v>
      </x:c>
      <x:c r="T24" s="115" t="s">
        <x:v>111</x:v>
      </x:c>
    </x:row>
    <x:row r="25">
      <x:c r="A25" s="116" t="n">
        <x:f t="shared" ref="A25:A94" si="1">ROW()-24</x:f>
        <x:v>1</x:v>
      </x:c>
      <x:c r="B25" s="116" t="n">
        <x:f t="shared" ref="B25:B94" si="2">$G$4</x:f>
        <x:v>5</x:v>
      </x:c>
      <x:c r="C25" s="116" t="n">
        <x:f t="shared" ref="C25:C94" si="3">(A25-0.5)*$G$4</x:f>
        <x:v>2.5</x:v>
      </x:c>
      <x:c r="D25" s="117" t="n">
        <x:f t="shared" ref="D25:D94" si="4">$B$11*($G$3-C25)/$G$3</x:f>
        <x:v>0.003454470198675497</x:v>
      </x:c>
      <x:c r="E25" s="118" t="n">
        <x:f t="shared" ref="E25:E94" si="5">IF(D25&gt;=0,MIN($B$9*D25,$B$10*$B$7),0)</x:f>
        <x:v>110.5</x:v>
      </x:c>
      <x:c r="F25" s="116" t="n">
        <x:f t="shared" ref="F25:F94" si="6">IF(D25&lt;0,IF(ABS(D25)&lt;=$B$12,-MIN($B$9*ABS(D25),$B$8),0),0)</x:f>
        <x:v>0</x:v>
      </x:c>
      <x:c r="G25" s="118" t="n">
        <x:f t="shared" ref="G25:G94" si="7">E25+F25</x:f>
        <x:v>110.5</x:v>
      </x:c>
      <x:c r="H25" s="116" t="n">
        <x:f t="shared" ref="H25:H94" si="8">G25*$B$3*B25/1000</x:f>
        <x:v>193.375</x:v>
      </x:c>
      <x:c r="I25" s="119" t="n">
        <x:f t="shared" ref="I25:I94" si="9">$G$3-C25</x:f>
        <x:v>189.68181818181822</x:v>
      </x:c>
      <x:c r="J25" s="119" t="n">
        <x:f t="shared" ref="J25:J94" si="10">H25*I25/1000</x:f>
        <x:v>36.6797215909091</x:v>
      </x:c>
      <x:c r="L25" s="120" t="n">
        <x:f>1</x:f>
        <x:v>1</x:v>
      </x:c>
      <x:c r="M25" s="121" t="n">
        <x:f t="shared" ref="M25:M28" si="11">D6</x:f>
        <x:v>4</x:v>
      </x:c>
      <x:c r="N25" s="122" t="n">
        <x:f t="shared" ref="N25:N28" si="12">B17</x:f>
        <x:v>804.247719318987</x:v>
      </x:c>
      <x:c r="O25" s="123" t="n">
        <x:f t="shared" ref="O25:O28" si="13">D14</x:f>
        <x:v>48</x:v>
      </x:c>
      <x:c r="P25" s="124" t="n">
        <x:f t="shared" ref="P25:P28" si="14">$B$11*($G$3-O25)/$G$3</x:f>
        <x:v>0.0026258278145695367</x:v>
      </x:c>
      <x:c r="Q25" s="121" t="n">
        <x:f t="shared" ref="Q25:Q28" si="15">MAX(-$D$3,MIN($D$3,$D$4*1000*P25))</x:f>
        <x:v>420</x:v>
      </x:c>
      <x:c r="R25" s="122" t="n">
        <x:f t="shared" ref="R25:R28" si="16">Q25*N25/1000</x:f>
        <x:v>337.7840421139746</x:v>
      </x:c>
      <x:c r="S25" s="123" t="n">
        <x:f t="shared" ref="S25:S28" si="17">$G$3-O25</x:f>
        <x:v>144.18181818181822</x:v>
      </x:c>
      <x:c r="T25" s="122" t="n">
        <x:f t="shared" ref="T25:T28" si="18">R25*S25/1000</x:f>
        <x:v>48.70231734479671</x:v>
      </x:c>
    </x:row>
    <x:row r="26">
      <x:c r="A26" s="120">
        <x:f t="shared" si="1"/>
        <x:v>2</x:v>
      </x:c>
      <x:c r="B26" s="120">
        <x:f t="shared" si="2"/>
        <x:v>5</x:v>
      </x:c>
      <x:c r="C26" s="120">
        <x:f t="shared" si="3"/>
        <x:v>7.5</x:v>
      </x:c>
      <x:c r="D26" s="124">
        <x:f t="shared" si="4"/>
        <x:v>3.3634105960264906E-3</x:v>
      </x:c>
      <x:c r="E26" s="122">
        <x:f t="shared" si="5"/>
        <x:v>110.5</x:v>
      </x:c>
      <x:c r="F26" s="120">
        <x:f t="shared" si="6"/>
        <x:v>0</x:v>
      </x:c>
      <x:c r="G26" s="122">
        <x:f t="shared" si="7"/>
        <x:v>110.5</x:v>
      </x:c>
      <x:c r="H26" s="120">
        <x:f t="shared" si="8"/>
        <x:v>193.375</x:v>
      </x:c>
      <x:c r="I26" s="125">
        <x:f t="shared" si="9"/>
        <x:v>184.68181818181822</x:v>
      </x:c>
      <x:c r="J26" s="125">
        <x:f t="shared" si="10"/>
        <x:v>35.712846590909095</x:v>
      </x:c>
      <x:c r="L26" s="120" t="n">
        <x:f>2</x:f>
        <x:v>2</x:v>
      </x:c>
      <x:c r="M26" s="121">
        <x:f t="shared" si="11"/>
        <x:v>2</x:v>
      </x:c>
      <x:c r="N26" s="122">
        <x:f t="shared" si="12"/>
        <x:v>402.12385965949352</x:v>
      </x:c>
      <x:c r="O26" s="123">
        <x:f t="shared" si="13"/>
        <x:v>132.66666666666669</x:v>
      </x:c>
      <x:c r="P26" s="126">
        <x:f t="shared" si="14"/>
        <x:v>1.0838852097130244E-3</x:v>
      </x:c>
      <x:c r="Q26" s="121">
        <x:f t="shared" si="15"/>
        <x:v>227.61589403973514</x:v>
      </x:c>
      <x:c r="R26" s="122">
        <x:f t="shared" si="16"/>
        <x:v>91.5297818311046</x:v>
      </x:c>
      <x:c r="S26" s="123">
        <x:f t="shared" si="17"/>
        <x:v>59.51515151515153</x:v>
      </x:c>
      <x:c r="T26" s="122">
        <x:f t="shared" si="18"/>
        <x:v>5.4474088338269535</x:v>
      </x:c>
    </x:row>
    <x:row r="27">
      <x:c r="A27" s="120">
        <x:f t="shared" si="1"/>
        <x:v>3</x:v>
      </x:c>
      <x:c r="B27" s="120">
        <x:f t="shared" si="2"/>
        <x:v>5</x:v>
      </x:c>
      <x:c r="C27" s="120">
        <x:f t="shared" si="3"/>
        <x:v>12.5</x:v>
      </x:c>
      <x:c r="D27" s="124">
        <x:f t="shared" si="4"/>
        <x:v>3.2723509933774834E-3</x:v>
      </x:c>
      <x:c r="E27" s="122">
        <x:f t="shared" si="5"/>
        <x:v>110.5</x:v>
      </x:c>
      <x:c r="F27" s="120">
        <x:f t="shared" si="6"/>
        <x:v>0</x:v>
      </x:c>
      <x:c r="G27" s="122">
        <x:f t="shared" si="7"/>
        <x:v>110.5</x:v>
      </x:c>
      <x:c r="H27" s="120">
        <x:f t="shared" si="8"/>
        <x:v>193.375</x:v>
      </x:c>
      <x:c r="I27" s="125">
        <x:f t="shared" si="9"/>
        <x:v>179.68181818181822</x:v>
      </x:c>
      <x:c r="J27" s="125">
        <x:f t="shared" si="10"/>
        <x:v>34.745971590909093</x:v>
      </x:c>
      <x:c r="L27" s="120">
        <x:v>3</x:v>
      </x:c>
      <x:c r="M27" s="121">
        <x:f t="shared" si="11"/>
        <x:v>2</x:v>
      </x:c>
      <x:c r="N27" s="122">
        <x:f t="shared" si="12"/>
        <x:v>402.12385965949352</x:v>
      </x:c>
      <x:c r="O27" s="123">
        <x:f t="shared" si="13"/>
        <x:v>217.33333333333334</x:v>
      </x:c>
      <x:c r="P27" s="126">
        <x:f t="shared" si="14"/>
        <x:v>-4.5805739514348732E-4</x:v>
      </x:c>
      <x:c r="Q27" s="121">
        <x:f t="shared" si="15"/>
        <x:v>-96.192052980132331</x:v>
      </x:c>
      <x:c r="R27" s="122">
        <x:f t="shared" si="16"/>
        <x:v>-38.681119612941302</x:v>
      </x:c>
      <x:c r="S27" s="123">
        <x:f t="shared" si="17"/>
        <x:v>-25.151515151515127</x:v>
      </x:c>
      <x:c r="T27" s="122">
        <x:f t="shared" si="18"/>
        <x:v>0.97288876602246221</x:v>
      </x:c>
    </x:row>
    <x:row r="28">
      <x:c r="A28" s="120">
        <x:f t="shared" si="1"/>
        <x:v>4</x:v>
      </x:c>
      <x:c r="B28" s="120">
        <x:f t="shared" si="2"/>
        <x:v>5</x:v>
      </x:c>
      <x:c r="C28" s="120">
        <x:f t="shared" si="3"/>
        <x:v>17.5</x:v>
      </x:c>
      <x:c r="D28" s="124">
        <x:f t="shared" si="4"/>
        <x:v>3.1812913907284771E-3</x:v>
      </x:c>
      <x:c r="E28" s="122">
        <x:f t="shared" si="5"/>
        <x:v>110.5</x:v>
      </x:c>
      <x:c r="F28" s="120">
        <x:f t="shared" si="6"/>
        <x:v>0</x:v>
      </x:c>
      <x:c r="G28" s="122">
        <x:f t="shared" si="7"/>
        <x:v>110.5</x:v>
      </x:c>
      <x:c r="H28" s="120">
        <x:f t="shared" si="8"/>
        <x:v>193.375</x:v>
      </x:c>
      <x:c r="I28" s="125">
        <x:f t="shared" si="9"/>
        <x:v>174.68181818181822</x:v>
      </x:c>
      <x:c r="J28" s="125">
        <x:f t="shared" si="10"/>
        <x:v>33.779096590909099</x:v>
      </x:c>
      <x:c r="L28" s="103">
        <x:v>4</x:v>
      </x:c>
      <x:c r="M28" s="127">
        <x:f t="shared" si="11"/>
        <x:v>4</x:v>
      </x:c>
      <x:c r="N28" s="128">
        <x:f t="shared" si="12"/>
        <x:v>804.24771931898704</x:v>
      </x:c>
      <x:c r="O28" s="129">
        <x:f t="shared" si="13"/>
        <x:v>302</x:v>
      </x:c>
      <x:c r="P28" s="103">
        <x:f t="shared" si="14"/>
        <x:v>-1.9999999999999992E-3</x:v>
      </x:c>
      <x:c r="Q28" s="127">
        <x:f t="shared" si="15"/>
        <x:v>-419.99999999999983</x:v>
      </x:c>
      <x:c r="R28" s="128">
        <x:f t="shared" si="16"/>
        <x:v>-337.78404211397441</x:v>
      </x:c>
      <x:c r="S28" s="129">
        <x:f t="shared" si="17"/>
        <x:v>-109.81818181818178</x:v>
      </x:c>
      <x:c r="T28" s="128">
        <x:f t="shared" si="18"/>
        <x:v>37.094829352152814</x:v>
      </x:c>
    </x:row>
    <x:row r="29">
      <x:c r="A29" s="120">
        <x:f t="shared" si="1"/>
        <x:v>5</x:v>
      </x:c>
      <x:c r="B29" s="120">
        <x:f t="shared" si="2"/>
        <x:v>5</x:v>
      </x:c>
      <x:c r="C29" s="120">
        <x:f t="shared" si="3"/>
        <x:v>22.5</x:v>
      </x:c>
      <x:c r="D29" s="124">
        <x:f t="shared" si="4"/>
        <x:v>3.0902317880794699E-3</x:v>
      </x:c>
      <x:c r="E29" s="122">
        <x:f t="shared" si="5"/>
        <x:v>110.5</x:v>
      </x:c>
      <x:c r="F29" s="120">
        <x:f t="shared" si="6"/>
        <x:v>0</x:v>
      </x:c>
      <x:c r="G29" s="122">
        <x:f t="shared" si="7"/>
        <x:v>110.5</x:v>
      </x:c>
      <x:c r="H29" s="120">
        <x:f t="shared" si="8"/>
        <x:v>193.375</x:v>
      </x:c>
      <x:c r="I29" s="125">
        <x:f t="shared" si="9"/>
        <x:v>169.68181818181822</x:v>
      </x:c>
      <x:c r="J29" s="125">
        <x:f t="shared" si="10"/>
        <x:v>32.812221590909097</x:v>
      </x:c>
      <x:c r="R29" s="130"/>
    </x:row>
    <x:row r="30">
      <x:c r="A30" s="120">
        <x:f t="shared" si="1"/>
        <x:v>6</x:v>
      </x:c>
      <x:c r="B30" s="120">
        <x:f t="shared" si="2"/>
        <x:v>5</x:v>
      </x:c>
      <x:c r="C30" s="120">
        <x:f t="shared" si="3"/>
        <x:v>27.5</x:v>
      </x:c>
      <x:c r="D30" s="124">
        <x:f t="shared" si="4"/>
        <x:v>2.9991721854304636E-3</x:v>
      </x:c>
      <x:c r="E30" s="122">
        <x:f t="shared" si="5"/>
        <x:v>110.5</x:v>
      </x:c>
      <x:c r="F30" s="120">
        <x:f t="shared" si="6"/>
        <x:v>0</x:v>
      </x:c>
      <x:c r="G30" s="122">
        <x:f t="shared" si="7"/>
        <x:v>110.5</x:v>
      </x:c>
      <x:c r="H30" s="120">
        <x:f t="shared" si="8"/>
        <x:v>193.375</x:v>
      </x:c>
      <x:c r="I30" s="125">
        <x:f t="shared" si="9"/>
        <x:v>164.68181818181822</x:v>
      </x:c>
      <x:c r="J30" s="125">
        <x:f t="shared" si="10"/>
        <x:v>31.845346590909099</x:v>
      </x:c>
    </x:row>
    <x:row r="31">
      <x:c r="A31" s="120">
        <x:f t="shared" si="1"/>
        <x:v>7</x:v>
      </x:c>
      <x:c r="B31" s="120">
        <x:f t="shared" si="2"/>
        <x:v>5</x:v>
      </x:c>
      <x:c r="C31" s="120">
        <x:f t="shared" si="3"/>
        <x:v>32.5</x:v>
      </x:c>
      <x:c r="D31" s="124">
        <x:f t="shared" si="4"/>
        <x:v>2.9081125827814572E-3</x:v>
      </x:c>
      <x:c r="E31" s="122">
        <x:f t="shared" si="5"/>
        <x:v>110.5</x:v>
      </x:c>
      <x:c r="F31" s="120">
        <x:f t="shared" si="6"/>
        <x:v>0</x:v>
      </x:c>
      <x:c r="G31" s="122">
        <x:f t="shared" si="7"/>
        <x:v>110.5</x:v>
      </x:c>
      <x:c r="H31" s="120">
        <x:f t="shared" si="8"/>
        <x:v>193.375</x:v>
      </x:c>
      <x:c r="I31" s="125">
        <x:f t="shared" si="9"/>
        <x:v>159.68181818181822</x:v>
      </x:c>
      <x:c r="J31" s="125">
        <x:f t="shared" si="10"/>
        <x:v>30.878471590909101</x:v>
      </x:c>
    </x:row>
    <x:row r="32">
      <x:c r="A32" s="120">
        <x:f t="shared" si="1"/>
        <x:v>8</x:v>
      </x:c>
      <x:c r="B32" s="120">
        <x:f t="shared" si="2"/>
        <x:v>5</x:v>
      </x:c>
      <x:c r="C32" s="120">
        <x:f t="shared" si="3"/>
        <x:v>37.5</x:v>
      </x:c>
      <x:c r="D32" s="124">
        <x:f t="shared" si="4"/>
        <x:v>2.8170529801324505E-3</x:v>
      </x:c>
      <x:c r="E32" s="122">
        <x:f t="shared" si="5"/>
        <x:v>110.5</x:v>
      </x:c>
      <x:c r="F32" s="120">
        <x:f t="shared" si="6"/>
        <x:v>0</x:v>
      </x:c>
      <x:c r="G32" s="122">
        <x:f t="shared" si="7"/>
        <x:v>110.5</x:v>
      </x:c>
      <x:c r="H32" s="120">
        <x:f t="shared" si="8"/>
        <x:v>193.375</x:v>
      </x:c>
      <x:c r="I32" s="125">
        <x:f t="shared" si="9"/>
        <x:v>154.68181818181822</x:v>
      </x:c>
      <x:c r="J32" s="125">
        <x:f t="shared" si="10"/>
        <x:v>29.911596590909099</x:v>
      </x:c>
    </x:row>
    <x:row r="33">
      <x:c r="A33" s="120">
        <x:f t="shared" si="1"/>
        <x:v>9</x:v>
      </x:c>
      <x:c r="B33" s="120">
        <x:f t="shared" si="2"/>
        <x:v>5</x:v>
      </x:c>
      <x:c r="C33" s="120">
        <x:f t="shared" si="3"/>
        <x:v>42.5</x:v>
      </x:c>
      <x:c r="D33" s="124">
        <x:f t="shared" si="4"/>
        <x:v>2.7259933774834437E-3</x:v>
      </x:c>
      <x:c r="E33" s="122">
        <x:f t="shared" si="5"/>
        <x:v>110.5</x:v>
      </x:c>
      <x:c r="F33" s="120">
        <x:f t="shared" si="6"/>
        <x:v>0</x:v>
      </x:c>
      <x:c r="G33" s="122">
        <x:f t="shared" si="7"/>
        <x:v>110.5</x:v>
      </x:c>
      <x:c r="H33" s="120">
        <x:f t="shared" si="8"/>
        <x:v>193.375</x:v>
      </x:c>
      <x:c r="I33" s="125">
        <x:f t="shared" si="9"/>
        <x:v>149.68181818181822</x:v>
      </x:c>
      <x:c r="J33" s="125">
        <x:f t="shared" si="10"/>
        <x:v>28.944721590909101</x:v>
      </x:c>
    </x:row>
    <x:row r="34">
      <x:c r="A34" s="120">
        <x:f t="shared" si="1"/>
        <x:v>10</x:v>
      </x:c>
      <x:c r="B34" s="120">
        <x:f t="shared" si="2"/>
        <x:v>5</x:v>
      </x:c>
      <x:c r="C34" s="120">
        <x:f t="shared" si="3"/>
        <x:v>47.5</x:v>
      </x:c>
      <x:c r="D34" s="124">
        <x:f t="shared" si="4"/>
        <x:v>2.6349337748344374E-3</x:v>
      </x:c>
      <x:c r="E34" s="122">
        <x:f t="shared" si="5"/>
        <x:v>110.5</x:v>
      </x:c>
      <x:c r="F34" s="120">
        <x:f t="shared" si="6"/>
        <x:v>0</x:v>
      </x:c>
      <x:c r="G34" s="122">
        <x:f t="shared" si="7"/>
        <x:v>110.5</x:v>
      </x:c>
      <x:c r="H34" s="120">
        <x:f t="shared" si="8"/>
        <x:v>193.375</x:v>
      </x:c>
      <x:c r="I34" s="125">
        <x:f t="shared" si="9"/>
        <x:v>144.68181818181822</x:v>
      </x:c>
      <x:c r="J34" s="125">
        <x:f t="shared" si="10"/>
        <x:v>27.977846590909099</x:v>
      </x:c>
      <x:c r="M34" s="131"/>
      <x:c r="N34" s="130"/>
      <x:c r="O34" s="132"/>
      <x:c r="Q34" s="131"/>
      <x:c r="S34" s="132"/>
    </x:row>
    <x:row r="35">
      <x:c r="A35" s="120">
        <x:f t="shared" si="1"/>
        <x:v>11</x:v>
      </x:c>
      <x:c r="B35" s="120">
        <x:f t="shared" si="2"/>
        <x:v>5</x:v>
      </x:c>
      <x:c r="C35" s="120">
        <x:f t="shared" si="3"/>
        <x:v>52.5</x:v>
      </x:c>
      <x:c r="D35" s="124">
        <x:f t="shared" si="4"/>
        <x:v>2.5438741721854306E-3</x:v>
      </x:c>
      <x:c r="E35" s="122">
        <x:f t="shared" si="5"/>
        <x:v>110.5</x:v>
      </x:c>
      <x:c r="F35" s="120">
        <x:f t="shared" si="6"/>
        <x:v>0</x:v>
      </x:c>
      <x:c r="G35" s="122">
        <x:f t="shared" si="7"/>
        <x:v>110.5</x:v>
      </x:c>
      <x:c r="H35" s="122">
        <x:f t="shared" si="8"/>
        <x:v>193.375</x:v>
      </x:c>
      <x:c r="I35" s="125">
        <x:f t="shared" si="9"/>
        <x:v>139.68181818181822</x:v>
      </x:c>
      <x:c r="J35" s="125">
        <x:f t="shared" si="10"/>
        <x:v>27.010971590909101</x:v>
      </x:c>
    </x:row>
    <x:row r="36">
      <x:c r="A36" s="120">
        <x:f t="shared" si="1"/>
        <x:v>12</x:v>
      </x:c>
      <x:c r="B36" s="120">
        <x:f t="shared" si="2"/>
        <x:v>5</x:v>
      </x:c>
      <x:c r="C36" s="120">
        <x:f t="shared" si="3"/>
        <x:v>57.5</x:v>
      </x:c>
      <x:c r="D36" s="124">
        <x:f t="shared" si="4"/>
        <x:v>2.4528145695364243E-3</x:v>
      </x:c>
      <x:c r="E36" s="122">
        <x:f t="shared" si="5"/>
        <x:v>110.5</x:v>
      </x:c>
      <x:c r="F36" s="120">
        <x:f t="shared" si="6"/>
        <x:v>0</x:v>
      </x:c>
      <x:c r="G36" s="122">
        <x:f t="shared" si="7"/>
        <x:v>110.5</x:v>
      </x:c>
      <x:c r="H36" s="122">
        <x:f t="shared" si="8"/>
        <x:v>193.375</x:v>
      </x:c>
      <x:c r="I36" s="125">
        <x:f t="shared" si="9"/>
        <x:v>134.68181818181822</x:v>
      </x:c>
      <x:c r="J36" s="125">
        <x:f t="shared" si="10"/>
        <x:v>26.044096590909099</x:v>
      </x:c>
    </x:row>
    <x:row r="37">
      <x:c r="A37" s="120">
        <x:f t="shared" si="1"/>
        <x:v>13</x:v>
      </x:c>
      <x:c r="B37" s="120">
        <x:f t="shared" si="2"/>
        <x:v>5</x:v>
      </x:c>
      <x:c r="C37" s="120">
        <x:f t="shared" si="3"/>
        <x:v>62.5</x:v>
      </x:c>
      <x:c r="D37" s="124">
        <x:f t="shared" si="4"/>
        <x:v>2.3617549668874175E-3</x:v>
      </x:c>
      <x:c r="E37" s="122">
        <x:f t="shared" si="5"/>
        <x:v>107.29829392886927</x:v>
      </x:c>
      <x:c r="F37" s="120">
        <x:f t="shared" si="6"/>
        <x:v>0</x:v>
      </x:c>
      <x:c r="G37" s="122">
        <x:f t="shared" si="7"/>
        <x:v>107.29829392886927</x:v>
      </x:c>
      <x:c r="H37" s="122">
        <x:f t="shared" si="8"/>
        <x:v>187.77201437552122</x:v>
      </x:c>
      <x:c r="I37" s="125">
        <x:f t="shared" si="9"/>
        <x:v>129.68181818181822</x:v>
      </x:c>
      <x:c r="J37" s="125">
        <x:f t="shared" si="10"/>
        <x:v>24.350616227880099</x:v>
      </x:c>
    </x:row>
    <x:row r="38">
      <x:c r="A38" s="120">
        <x:f t="shared" si="1"/>
        <x:v>14</x:v>
      </x:c>
      <x:c r="B38" s="120">
        <x:f t="shared" si="2"/>
        <x:v>5</x:v>
      </x:c>
      <x:c r="C38" s="120">
        <x:f t="shared" si="3"/>
        <x:v>67.5</x:v>
      </x:c>
      <x:c r="D38" s="124">
        <x:f t="shared" si="4"/>
        <x:v>2.2706953642384108E-3</x:v>
      </x:c>
      <x:c r="E38" s="122">
        <x:f t="shared" si="5"/>
        <x:v>103.16131098734259</x:v>
      </x:c>
      <x:c r="F38" s="120">
        <x:f t="shared" si="6"/>
        <x:v>0</x:v>
      </x:c>
      <x:c r="G38" s="122">
        <x:f t="shared" si="7"/>
        <x:v>103.16131098734259</x:v>
      </x:c>
      <x:c r="H38" s="122">
        <x:f t="shared" si="8"/>
        <x:v>180.53229422784952</x:v>
      </x:c>
      <x:c r="I38" s="125">
        <x:f t="shared" si="9"/>
        <x:v>124.68181818181822</x:v>
      </x:c>
      <x:c r="J38" s="125">
        <x:f t="shared" si="10"/>
        <x:v>22.509094684863246</x:v>
      </x:c>
    </x:row>
    <x:row r="39">
      <x:c r="A39" s="120">
        <x:f t="shared" si="1"/>
        <x:v>15</x:v>
      </x:c>
      <x:c r="B39" s="120">
        <x:f t="shared" si="2"/>
        <x:v>5</x:v>
      </x:c>
      <x:c r="C39" s="120">
        <x:f t="shared" si="3"/>
        <x:v>72.5</x:v>
      </x:c>
      <x:c r="D39" s="124">
        <x:f t="shared" si="4"/>
        <x:v>2.1796357615894045E-3</x:v>
      </x:c>
      <x:c r="E39" s="122">
        <x:f t="shared" si="5"/>
        <x:v>99.024328045815921</x:v>
      </x:c>
      <x:c r="F39" s="120">
        <x:f t="shared" si="6"/>
        <x:v>0</x:v>
      </x:c>
      <x:c r="G39" s="122">
        <x:f t="shared" si="7"/>
        <x:v>99.024328045815921</x:v>
      </x:c>
      <x:c r="H39" s="122">
        <x:f t="shared" si="8"/>
        <x:v>173.29257408017787</x:v>
      </x:c>
      <x:c r="I39" s="125">
        <x:f t="shared" si="9"/>
        <x:v>119.68181818181822</x:v>
      </x:c>
      <x:c r="J39" s="125">
        <x:f t="shared" si="10"/>
        <x:v>20.739970343323112</x:v>
      </x:c>
    </x:row>
    <x:row r="40">
      <x:c r="A40" s="120">
        <x:f t="shared" si="1"/>
        <x:v>16</x:v>
      </x:c>
      <x:c r="B40" s="120">
        <x:f t="shared" si="2"/>
        <x:v>5</x:v>
      </x:c>
      <x:c r="C40" s="120">
        <x:f t="shared" si="3"/>
        <x:v>77.5</x:v>
      </x:c>
      <x:c r="D40" s="124">
        <x:f t="shared" si="4"/>
        <x:v>2.0885761589403977E-3</x:v>
      </x:c>
      <x:c r="E40" s="122">
        <x:f t="shared" si="5"/>
        <x:v>94.887345104289238</x:v>
      </x:c>
      <x:c r="F40" s="120">
        <x:f t="shared" si="6"/>
        <x:v>0</x:v>
      </x:c>
      <x:c r="G40" s="122">
        <x:f t="shared" si="7"/>
        <x:v>94.887345104289238</x:v>
      </x:c>
      <x:c r="H40" s="122">
        <x:f t="shared" si="8"/>
        <x:v>166.05285393250614</x:v>
      </x:c>
      <x:c r="I40" s="125">
        <x:f t="shared" si="9"/>
        <x:v>114.68181818181822</x:v>
      </x:c>
      <x:c r="J40" s="125">
        <x:f t="shared" si="10"/>
        <x:v>19.043243203259689</x:v>
      </x:c>
    </x:row>
    <x:row r="41">
      <x:c r="A41" s="120">
        <x:f t="shared" si="1"/>
        <x:v>17</x:v>
      </x:c>
      <x:c r="B41" s="120">
        <x:f t="shared" si="2"/>
        <x:v>5</x:v>
      </x:c>
      <x:c r="C41" s="120">
        <x:f t="shared" si="3"/>
        <x:v>82.5</x:v>
      </x:c>
      <x:c r="D41" s="124">
        <x:f t="shared" si="4"/>
        <x:v>1.997516556291391E-3</x:v>
      </x:c>
      <x:c r="E41" s="122">
        <x:f t="shared" si="5"/>
        <x:v>90.750362162762556</x:v>
      </x:c>
      <x:c r="F41" s="120">
        <x:f t="shared" si="6"/>
        <x:v>0</x:v>
      </x:c>
      <x:c r="G41" s="122">
        <x:f t="shared" si="7"/>
        <x:v>90.750362162762556</x:v>
      </x:c>
      <x:c r="H41" s="122">
        <x:f t="shared" si="8"/>
        <x:v>158.81313378483446</x:v>
      </x:c>
      <x:c r="I41" s="125">
        <x:f t="shared" si="9"/>
        <x:v>109.68181818181822</x:v>
      </x:c>
      <x:c r="J41" s="125">
        <x:f t="shared" si="10"/>
        <x:v>17.418913264672984</x:v>
      </x:c>
    </x:row>
    <x:row r="42">
      <x:c r="A42" s="120">
        <x:f t="shared" si="1"/>
        <x:v>18</x:v>
      </x:c>
      <x:c r="B42" s="120">
        <x:f t="shared" si="2"/>
        <x:v>5</x:v>
      </x:c>
      <x:c r="C42" s="120">
        <x:f t="shared" si="3"/>
        <x:v>87.5</x:v>
      </x:c>
      <x:c r="D42" s="124">
        <x:f t="shared" si="4"/>
        <x:v>1.9064569536423846E-3</x:v>
      </x:c>
      <x:c r="E42" s="122">
        <x:f t="shared" si="5"/>
        <x:v>86.613379221235888</x:v>
      </x:c>
      <x:c r="F42" s="120">
        <x:f t="shared" si="6"/>
        <x:v>0</x:v>
      </x:c>
      <x:c r="G42" s="122">
        <x:f t="shared" si="7"/>
        <x:v>86.613379221235888</x:v>
      </x:c>
      <x:c r="H42" s="122">
        <x:f t="shared" si="8"/>
        <x:v>151.57341363716282</x:v>
      </x:c>
      <x:c r="I42" s="125">
        <x:f t="shared" si="9"/>
        <x:v>104.68181818181822</x:v>
      </x:c>
      <x:c r="J42" s="125">
        <x:f t="shared" si="10"/>
        <x:v>15.866980527563005</x:v>
      </x:c>
    </x:row>
    <x:row r="43">
      <x:c r="A43" s="120">
        <x:f t="shared" si="1"/>
        <x:v>19</x:v>
      </x:c>
      <x:c r="B43" s="120">
        <x:f t="shared" si="2"/>
        <x:v>5</x:v>
      </x:c>
      <x:c r="C43" s="120">
        <x:f t="shared" si="3"/>
        <x:v>92.5</x:v>
      </x:c>
      <x:c r="D43" s="124">
        <x:f t="shared" si="4"/>
        <x:v>1.8153973509933779E-3</x:v>
      </x:c>
      <x:c r="E43" s="122">
        <x:f t="shared" si="5"/>
        <x:v>82.476396279709192</x:v>
      </x:c>
      <x:c r="F43" s="120">
        <x:f t="shared" si="6"/>
        <x:v>0</x:v>
      </x:c>
      <x:c r="G43" s="122">
        <x:f t="shared" si="7"/>
        <x:v>82.476396279709192</x:v>
      </x:c>
      <x:c r="H43" s="122">
        <x:f t="shared" si="8"/>
        <x:v>144.33369348949108</x:v>
      </x:c>
      <x:c r="I43" s="125">
        <x:f t="shared" si="9"/>
        <x:v>99.681818181818215</x:v>
      </x:c>
      <x:c r="J43" s="125">
        <x:f t="shared" si="10"/>
        <x:v>14.38744499192973</x:v>
      </x:c>
    </x:row>
    <x:row r="44">
      <x:c r="A44" s="120">
        <x:f t="shared" si="1"/>
        <x:v>20</x:v>
      </x:c>
      <x:c r="B44" s="120">
        <x:f t="shared" si="2"/>
        <x:v>5</x:v>
      </x:c>
      <x:c r="C44" s="120">
        <x:f t="shared" si="3"/>
        <x:v>97.5</x:v>
      </x:c>
      <x:c r="D44" s="124">
        <x:f t="shared" si="4"/>
        <x:v>1.7243377483443711E-3</x:v>
      </x:c>
      <x:c r="E44" s="122">
        <x:f t="shared" si="5"/>
        <x:v>78.33941333818251</x:v>
      </x:c>
      <x:c r="F44" s="120">
        <x:f t="shared" si="6"/>
        <x:v>0</x:v>
      </x:c>
      <x:c r="G44" s="122">
        <x:f t="shared" si="7"/>
        <x:v>78.33941333818251</x:v>
      </x:c>
      <x:c r="H44" s="122">
        <x:f t="shared" si="8"/>
        <x:v>137.09397334181941</x:v>
      </x:c>
      <x:c r="I44" s="125">
        <x:f t="shared" si="9"/>
        <x:v>94.681818181818215</x:v>
      </x:c>
      <x:c r="J44" s="125">
        <x:f t="shared" si="10"/>
        <x:v>12.980306657773179</x:v>
      </x:c>
    </x:row>
    <x:row r="45">
      <x:c r="A45" s="120">
        <x:f t="shared" si="1"/>
        <x:v>21</x:v>
      </x:c>
      <x:c r="B45" s="120">
        <x:f t="shared" si="2"/>
        <x:v>5</x:v>
      </x:c>
      <x:c r="C45" s="120">
        <x:f t="shared" si="3"/>
        <x:v>102.5</x:v>
      </x:c>
      <x:c r="D45" s="124">
        <x:f t="shared" si="4"/>
        <x:v>1.6332781456953646E-3</x:v>
      </x:c>
      <x:c r="E45" s="122">
        <x:f t="shared" si="5"/>
        <x:v>74.202430396655828</x:v>
      </x:c>
      <x:c r="F45" s="120">
        <x:f t="shared" si="6"/>
        <x:v>0</x:v>
      </x:c>
      <x:c r="G45" s="122">
        <x:f t="shared" si="7"/>
        <x:v>74.202430396655828</x:v>
      </x:c>
      <x:c r="H45" s="122">
        <x:f t="shared" si="8"/>
        <x:v>129.8542531941477</x:v>
      </x:c>
      <x:c r="I45" s="125">
        <x:f t="shared" si="9"/>
        <x:v>89.681818181818215</x:v>
      </x:c>
      <x:c r="J45" s="125">
        <x:f t="shared" si="10"/>
        <x:v>11.645565525093341</x:v>
      </x:c>
    </x:row>
    <x:row r="46">
      <x:c r="A46" s="120">
        <x:f t="shared" si="1"/>
        <x:v>22</x:v>
      </x:c>
      <x:c r="B46" s="120">
        <x:f t="shared" si="2"/>
        <x:v>5</x:v>
      </x:c>
      <x:c r="C46" s="120">
        <x:f t="shared" si="3"/>
        <x:v>107.5</x:v>
      </x:c>
      <x:c r="D46" s="124">
        <x:f t="shared" si="4"/>
        <x:v>1.542218543046358E-3</x:v>
      </x:c>
      <x:c r="E46" s="122">
        <x:f t="shared" si="5"/>
        <x:v>70.06544745512916</x:v>
      </x:c>
      <x:c r="F46" s="120">
        <x:f t="shared" si="6"/>
        <x:v>0</x:v>
      </x:c>
      <x:c r="G46" s="122">
        <x:f t="shared" si="7"/>
        <x:v>70.06544745512916</x:v>
      </x:c>
      <x:c r="H46" s="122">
        <x:f t="shared" si="8"/>
        <x:v>122.61453304647601</x:v>
      </x:c>
      <x:c r="I46" s="125">
        <x:f t="shared" si="9"/>
        <x:v>84.681818181818215</x:v>
      </x:c>
      <x:c r="J46" s="125">
        <x:f t="shared" si="10"/>
        <x:v>10.383221593890223</x:v>
      </x:c>
    </x:row>
    <x:row r="47">
      <x:c r="A47" s="120">
        <x:f t="shared" si="1"/>
        <x:v>23</x:v>
      </x:c>
      <x:c r="B47" s="120">
        <x:f t="shared" si="2"/>
        <x:v>5</x:v>
      </x:c>
      <x:c r="C47" s="120">
        <x:f t="shared" si="3"/>
        <x:v>112.5</x:v>
      </x:c>
      <x:c r="D47" s="124">
        <x:f t="shared" si="4"/>
        <x:v>1.4511589403973515E-3</x:v>
      </x:c>
      <x:c r="E47" s="122">
        <x:f t="shared" si="5"/>
        <x:v>65.928464513602478</x:v>
      </x:c>
      <x:c r="F47" s="120">
        <x:f t="shared" si="6"/>
        <x:v>0</x:v>
      </x:c>
      <x:c r="G47" s="122">
        <x:f t="shared" si="7"/>
        <x:v>65.928464513602478</x:v>
      </x:c>
      <x:c r="H47" s="122">
        <x:f t="shared" si="8"/>
        <x:v>115.37481289880435</x:v>
      </x:c>
      <x:c r="I47" s="125">
        <x:f t="shared" si="9"/>
        <x:v>79.681818181818215</x:v>
      </x:c>
      <x:c r="J47" s="125">
        <x:f t="shared" si="10"/>
        <x:v>9.193274864163822</x:v>
      </x:c>
    </x:row>
    <x:row r="48">
      <x:c r="A48" s="120">
        <x:f t="shared" si="1"/>
        <x:v>24</x:v>
      </x:c>
      <x:c r="B48" s="120">
        <x:f t="shared" si="2"/>
        <x:v>5</x:v>
      </x:c>
      <x:c r="C48" s="120">
        <x:f t="shared" si="3"/>
        <x:v>117.5</x:v>
      </x:c>
      <x:c r="D48" s="124">
        <x:f t="shared" si="4"/>
        <x:v>1.3600993377483447E-3</x:v>
      </x:c>
      <x:c r="E48" s="122">
        <x:f t="shared" si="5"/>
        <x:v>61.791481572075796</x:v>
      </x:c>
      <x:c r="F48" s="120">
        <x:f t="shared" si="6"/>
        <x:v>0</x:v>
      </x:c>
      <x:c r="G48" s="122">
        <x:f t="shared" si="7"/>
        <x:v>61.791481572075796</x:v>
      </x:c>
      <x:c r="H48" s="122">
        <x:f t="shared" si="8"/>
        <x:v>108.13509275113263</x:v>
      </x:c>
      <x:c r="I48" s="125">
        <x:f t="shared" si="9"/>
        <x:v>74.681818181818215</x:v>
      </x:c>
      <x:c r="J48" s="125">
        <x:f t="shared" si="10"/>
        <x:v>8.0757253359141359</x:v>
      </x:c>
    </x:row>
    <x:row r="49">
      <x:c r="A49" s="120">
        <x:f t="shared" si="1"/>
        <x:v>25</x:v>
      </x:c>
      <x:c r="B49" s="120">
        <x:f t="shared" si="2"/>
        <x:v>5</x:v>
      </x:c>
      <x:c r="C49" s="120">
        <x:f t="shared" si="3"/>
        <x:v>122.5</x:v>
      </x:c>
      <x:c r="D49" s="124">
        <x:f t="shared" si="4"/>
        <x:v>1.2690397350993382E-3</x:v>
      </x:c>
      <x:c r="E49" s="122">
        <x:f t="shared" si="5"/>
        <x:v>57.654498630549121</x:v>
      </x:c>
      <x:c r="F49" s="120">
        <x:f t="shared" si="6"/>
        <x:v>0</x:v>
      </x:c>
      <x:c r="G49" s="122">
        <x:f t="shared" si="7"/>
        <x:v>57.654498630549121</x:v>
      </x:c>
      <x:c r="H49" s="122">
        <x:f t="shared" si="8"/>
        <x:v>100.89537260346097</x:v>
      </x:c>
      <x:c r="I49" s="125">
        <x:f t="shared" si="9"/>
        <x:v>69.681818181818215</x:v>
      </x:c>
      <x:c r="J49" s="125">
        <x:f t="shared" si="10"/>
        <x:v>7.03057300914117</x:v>
      </x:c>
    </x:row>
    <x:row r="50">
      <x:c r="A50" s="120">
        <x:f t="shared" si="1"/>
        <x:v>26</x:v>
      </x:c>
      <x:c r="B50" s="120">
        <x:f t="shared" si="2"/>
        <x:v>5</x:v>
      </x:c>
      <x:c r="C50" s="120">
        <x:f t="shared" si="3"/>
        <x:v>127.5</x:v>
      </x:c>
      <x:c r="D50" s="124">
        <x:f t="shared" si="4"/>
        <x:v>1.1779801324503314E-3</x:v>
      </x:c>
      <x:c r="E50" s="122">
        <x:f t="shared" si="5"/>
        <x:v>53.517515689022432</x:v>
      </x:c>
      <x:c r="F50" s="120">
        <x:f t="shared" si="6"/>
        <x:v>0</x:v>
      </x:c>
      <x:c r="G50" s="122">
        <x:f t="shared" si="7"/>
        <x:v>53.517515689022432</x:v>
      </x:c>
      <x:c r="H50" s="122">
        <x:f t="shared" si="8"/>
        <x:v>93.655652455789252</x:v>
      </x:c>
      <x:c r="I50" s="125">
        <x:f t="shared" si="9"/>
        <x:v>64.681818181818215</x:v>
      </x:c>
      <x:c r="J50" s="125">
        <x:f t="shared" si="10"/>
        <x:v>6.0578178838449164</x:v>
      </x:c>
    </x:row>
    <x:row r="51">
      <x:c r="A51" s="120">
        <x:f t="shared" si="1"/>
        <x:v>27</x:v>
      </x:c>
      <x:c r="B51" s="120">
        <x:f t="shared" si="2"/>
        <x:v>5</x:v>
      </x:c>
      <x:c r="C51" s="120">
        <x:f t="shared" si="3"/>
        <x:v>132.5</x:v>
      </x:c>
      <x:c r="D51" s="124">
        <x:f t="shared" si="4"/>
        <x:v>1.0869205298013249E-3</x:v>
      </x:c>
      <x:c r="E51" s="122">
        <x:f t="shared" si="5"/>
        <x:v>49.380532747495756</x:v>
      </x:c>
      <x:c r="F51" s="120">
        <x:f t="shared" si="6"/>
        <x:v>0</x:v>
      </x:c>
      <x:c r="G51" s="122">
        <x:f t="shared" si="7"/>
        <x:v>49.380532747495756</x:v>
      </x:c>
      <x:c r="H51" s="122">
        <x:f t="shared" si="8"/>
        <x:v>86.415932308117561</x:v>
      </x:c>
      <x:c r="I51" s="125">
        <x:f t="shared" si="9"/>
        <x:v>59.681818181818215</x:v>
      </x:c>
      <x:c r="J51" s="125">
        <x:f t="shared" si="10"/>
        <x:v>5.157459960025383</x:v>
      </x:c>
    </x:row>
    <x:row r="52">
      <x:c r="A52" s="120">
        <x:f t="shared" si="1"/>
        <x:v>28</x:v>
      </x:c>
      <x:c r="B52" s="120">
        <x:f t="shared" si="2"/>
        <x:v>5</x:v>
      </x:c>
      <x:c r="C52" s="120">
        <x:f t="shared" si="3"/>
        <x:v>137.5</x:v>
      </x:c>
      <x:c r="D52" s="124">
        <x:f t="shared" si="4"/>
        <x:v>9.9586092715231835E-4</x:v>
      </x:c>
      <x:c r="E52" s="122">
        <x:f t="shared" si="5"/>
        <x:v>45.243549805969081</x:v>
      </x:c>
      <x:c r="F52" s="120">
        <x:f t="shared" si="6"/>
        <x:v>0</x:v>
      </x:c>
      <x:c r="G52" s="122">
        <x:f t="shared" si="7"/>
        <x:v>45.243549805969081</x:v>
      </x:c>
      <x:c r="H52" s="122">
        <x:f t="shared" si="8"/>
        <x:v>79.1762121604459</x:v>
      </x:c>
      <x:c r="I52" s="125">
        <x:f t="shared" si="9"/>
        <x:v>54.681818181818215</x:v>
      </x:c>
      <x:c r="J52" s="125">
        <x:f t="shared" si="10"/>
        <x:v>4.3294992376825663</x:v>
      </x:c>
    </x:row>
    <x:row r="53">
      <x:c r="A53" s="120">
        <x:f t="shared" si="1"/>
        <x:v>29</x:v>
      </x:c>
      <x:c r="B53" s="120">
        <x:f t="shared" si="2"/>
        <x:v>5</x:v>
      </x:c>
      <x:c r="C53" s="120">
        <x:f t="shared" si="3"/>
        <x:v>142.5</x:v>
      </x:c>
      <x:c r="D53" s="124">
        <x:f t="shared" si="4"/>
        <x:v>9.048013245033117E-4</x:v>
      </x:c>
      <x:c r="E53" s="122">
        <x:f t="shared" si="5"/>
        <x:v>41.106566864442399</x:v>
      </x:c>
      <x:c r="F53" s="120">
        <x:f t="shared" si="6"/>
        <x:v>0</x:v>
      </x:c>
      <x:c r="G53" s="122">
        <x:f t="shared" si="7"/>
        <x:v>41.106566864442399</x:v>
      </x:c>
      <x:c r="H53" s="122">
        <x:f t="shared" si="8"/>
        <x:v>71.936492012774195</x:v>
      </x:c>
      <x:c r="I53" s="125">
        <x:f t="shared" si="9"/>
        <x:v>49.681818181818215</x:v>
      </x:c>
      <x:c r="J53" s="125">
        <x:f t="shared" si="10"/>
        <x:v>3.5739357168164658</x:v>
      </x:c>
    </x:row>
    <x:row r="54">
      <x:c r="A54" s="120">
        <x:f t="shared" si="1"/>
        <x:v>30</x:v>
      </x:c>
      <x:c r="B54" s="120">
        <x:f t="shared" si="2"/>
        <x:v>5</x:v>
      </x:c>
      <x:c r="C54" s="120">
        <x:f t="shared" si="3"/>
        <x:v>147.5</x:v>
      </x:c>
      <x:c r="D54" s="124">
        <x:f t="shared" si="4"/>
        <x:v>8.1374172185430516E-4</x:v>
      </x:c>
      <x:c r="E54" s="122">
        <x:f t="shared" si="5"/>
        <x:v>36.969583922915717</x:v>
      </x:c>
      <x:c r="F54" s="120">
        <x:f t="shared" si="6"/>
        <x:v>0</x:v>
      </x:c>
      <x:c r="G54" s="122">
        <x:f t="shared" si="7"/>
        <x:v>36.969583922915717</x:v>
      </x:c>
      <x:c r="H54" s="122">
        <x:f t="shared" si="8"/>
        <x:v>64.696771865102505</x:v>
      </x:c>
      <x:c r="I54" s="125">
        <x:f t="shared" si="9"/>
        <x:v>44.681818181818215</x:v>
      </x:c>
      <x:c r="J54" s="125">
        <x:f t="shared" si="10"/>
        <x:v>2.8907693974270825</x:v>
      </x:c>
    </x:row>
    <x:row r="55">
      <x:c r="A55" s="120">
        <x:f t="shared" si="1"/>
        <x:v>31</x:v>
      </x:c>
      <x:c r="B55" s="120">
        <x:f t="shared" si="2"/>
        <x:v>5</x:v>
      </x:c>
      <x:c r="C55" s="120">
        <x:f t="shared" si="3"/>
        <x:v>152.5</x:v>
      </x:c>
      <x:c r="D55" s="124">
        <x:f t="shared" si="4"/>
        <x:v>7.2268211920529851E-4</x:v>
      </x:c>
      <x:c r="E55" s="122">
        <x:f t="shared" si="5"/>
        <x:v>32.832600981389042</x:v>
      </x:c>
      <x:c r="F55" s="120">
        <x:f t="shared" si="6"/>
        <x:v>0</x:v>
      </x:c>
      <x:c r="G55" s="122">
        <x:f t="shared" si="7"/>
        <x:v>32.832600981389042</x:v>
      </x:c>
      <x:c r="H55" s="122">
        <x:f t="shared" si="8"/>
        <x:v>57.457051717430822</x:v>
      </x:c>
      <x:c r="I55" s="125">
        <x:f t="shared" si="9"/>
        <x:v>39.681818181818215</x:v>
      </x:c>
      <x:c r="J55" s="125">
        <x:f t="shared" si="10"/>
        <x:v>2.2800002795144159</x:v>
      </x:c>
    </x:row>
    <x:row r="56">
      <x:c r="A56" s="120">
        <x:f t="shared" si="1"/>
        <x:v>32</x:v>
      </x:c>
      <x:c r="B56" s="120">
        <x:f t="shared" si="2"/>
        <x:v>5</x:v>
      </x:c>
      <x:c r="C56" s="120">
        <x:f t="shared" si="3"/>
        <x:v>157.5</x:v>
      </x:c>
      <x:c r="D56" s="124">
        <x:f t="shared" si="4"/>
        <x:v>6.3162251655629186E-4</x:v>
      </x:c>
      <x:c r="E56" s="122">
        <x:f t="shared" si="5"/>
        <x:v>28.695618039862357</x:v>
      </x:c>
      <x:c r="F56" s="120">
        <x:f t="shared" si="6"/>
        <x:v>0</x:v>
      </x:c>
      <x:c r="G56" s="122">
        <x:f t="shared" si="7"/>
        <x:v>28.695618039862357</x:v>
      </x:c>
      <x:c r="H56" s="122">
        <x:f t="shared" si="8"/>
        <x:v>50.217331569759125</x:v>
      </x:c>
      <x:c r="I56" s="125">
        <x:f t="shared" si="9"/>
        <x:v>34.681818181818215</x:v>
      </x:c>
      <x:c r="J56" s="125">
        <x:f t="shared" si="10"/>
        <x:v>1.7416283630784657</x:v>
      </x:c>
    </x:row>
    <x:row r="57">
      <x:c r="A57" s="120">
        <x:f t="shared" si="1"/>
        <x:v>33</x:v>
      </x:c>
      <x:c r="B57" s="120">
        <x:f t="shared" si="2"/>
        <x:v>5</x:v>
      </x:c>
      <x:c r="C57" s="120">
        <x:f t="shared" si="3"/>
        <x:v>162.5</x:v>
      </x:c>
      <x:c r="D57" s="124">
        <x:f t="shared" si="4"/>
        <x:v>5.4056291390728532E-4</x:v>
      </x:c>
      <x:c r="E57" s="122">
        <x:f t="shared" si="5"/>
        <x:v>24.558635098335682</x:v>
      </x:c>
      <x:c r="F57" s="120">
        <x:f t="shared" si="6"/>
        <x:v>0</x:v>
      </x:c>
      <x:c r="G57" s="122">
        <x:f t="shared" si="7"/>
        <x:v>24.558635098335682</x:v>
      </x:c>
      <x:c r="H57" s="122">
        <x:f t="shared" si="8"/>
        <x:v>42.977611422087435</x:v>
      </x:c>
      <x:c r="I57" s="125">
        <x:f t="shared" si="9"/>
        <x:v>29.681818181818215</x:v>
      </x:c>
      <x:c r="J57" s="125">
        <x:f t="shared" si="10"/>
        <x:v>1.2756536481192331</x:v>
      </x:c>
    </x:row>
    <x:row r="58">
      <x:c r="A58" s="120">
        <x:f t="shared" si="1"/>
        <x:v>34</x:v>
      </x:c>
      <x:c r="B58" s="120">
        <x:f t="shared" si="2"/>
        <x:v>5</x:v>
      </x:c>
      <x:c r="C58" s="120">
        <x:f t="shared" si="3"/>
        <x:v>167.5</x:v>
      </x:c>
      <x:c r="D58" s="124">
        <x:f t="shared" si="4"/>
        <x:v>4.4950331125827872E-4</x:v>
      </x:c>
      <x:c r="E58" s="122">
        <x:f t="shared" si="5"/>
        <x:v>20.421652156809003</x:v>
      </x:c>
      <x:c r="F58" s="133">
        <x:f t="shared" si="6"/>
        <x:v>0</x:v>
      </x:c>
      <x:c r="G58" s="122">
        <x:f t="shared" si="7"/>
        <x:v>20.421652156809003</x:v>
      </x:c>
      <x:c r="H58" s="122">
        <x:f t="shared" si="8"/>
        <x:v>35.737891274415759</x:v>
      </x:c>
      <x:c r="I58" s="125">
        <x:f t="shared" si="9"/>
        <x:v>24.681818181818215</x:v>
      </x:c>
      <x:c r="J58" s="125">
        <x:f t="shared" si="10"/>
        <x:v>0.88207613463671752</x:v>
      </x:c>
    </x:row>
    <x:row r="59">
      <x:c r="A59" s="120">
        <x:f t="shared" si="1"/>
        <x:v>35</x:v>
      </x:c>
      <x:c r="B59" s="120">
        <x:f t="shared" si="2"/>
        <x:v>5</x:v>
      </x:c>
      <x:c r="C59" s="120">
        <x:f t="shared" si="3"/>
        <x:v>172.5</x:v>
      </x:c>
      <x:c r="D59" s="124">
        <x:f t="shared" si="4"/>
        <x:v>3.5844370860927213E-4</x:v>
      </x:c>
      <x:c r="E59" s="122">
        <x:f t="shared" si="5"/>
        <x:v>16.284669215282324</x:v>
      </x:c>
      <x:c r="F59" s="120">
        <x:f t="shared" si="6"/>
        <x:v>0</x:v>
      </x:c>
      <x:c r="G59" s="122">
        <x:f t="shared" si="7"/>
        <x:v>16.284669215282324</x:v>
      </x:c>
      <x:c r="H59" s="122">
        <x:f t="shared" si="8"/>
        <x:v>28.498171126744069</x:v>
      </x:c>
      <x:c r="I59" s="125">
        <x:f t="shared" si="9"/>
        <x:v>19.681818181818215</x:v>
      </x:c>
      <x:c r="J59" s="125">
        <x:f t="shared" si="10"/>
        <x:v>0.56089582263091831</x:v>
      </x:c>
    </x:row>
    <x:row r="60">
      <x:c r="A60" s="120">
        <x:f t="shared" si="1"/>
        <x:v>36</x:v>
      </x:c>
      <x:c r="B60" s="120">
        <x:f t="shared" si="2"/>
        <x:v>5</x:v>
      </x:c>
      <x:c r="C60" s="120">
        <x:f t="shared" si="3"/>
        <x:v>177.5</x:v>
      </x:c>
      <x:c r="D60" s="124">
        <x:f t="shared" si="4"/>
        <x:v>2.6738410596026548E-4</x:v>
      </x:c>
      <x:c r="E60" s="122">
        <x:f t="shared" si="5"/>
        <x:v>12.147686273755642</x:v>
      </x:c>
      <x:c r="F60" s="120">
        <x:f t="shared" si="6"/>
        <x:v>0</x:v>
      </x:c>
      <x:c r="G60" s="122">
        <x:f t="shared" si="7"/>
        <x:v>12.147686273755642</x:v>
      </x:c>
      <x:c r="H60" s="122">
        <x:f t="shared" si="8"/>
        <x:v>21.258450979072371</x:v>
      </x:c>
      <x:c r="I60" s="125">
        <x:f t="shared" si="9"/>
        <x:v>14.681818181818215</x:v>
      </x:c>
      <x:c r="J60" s="125">
        <x:f t="shared" si="10"/>
        <x:v>0.312112712101836</x:v>
      </x:c>
    </x:row>
    <x:row r="61">
      <x:c r="A61" s="120">
        <x:f t="shared" si="1"/>
        <x:v>37</x:v>
      </x:c>
      <x:c r="B61" s="120">
        <x:f t="shared" si="2"/>
        <x:v>5</x:v>
      </x:c>
      <x:c r="C61" s="120">
        <x:f t="shared" si="3"/>
        <x:v>182.5</x:v>
      </x:c>
      <x:c r="D61" s="124">
        <x:f t="shared" si="4"/>
        <x:v>1.7632450331125888E-4</x:v>
      </x:c>
      <x:c r="E61" s="122">
        <x:f t="shared" si="5"/>
        <x:v>8.010703332228962</x:v>
      </x:c>
      <x:c r="F61" s="120">
        <x:f t="shared" si="6"/>
        <x:v>0</x:v>
      </x:c>
      <x:c r="G61" s="122">
        <x:f t="shared" si="7"/>
        <x:v>8.010703332228962</x:v>
      </x:c>
      <x:c r="H61" s="122">
        <x:f t="shared" si="8"/>
        <x:v>14.018730831400683</x:v>
      </x:c>
      <x:c r="I61" s="125">
        <x:f t="shared" si="9"/>
        <x:v>9.6818181818182154</x:v>
      </x:c>
      <x:c r="J61" s="125">
        <x:f t="shared" si="10"/>
        <x:v>0.13572680304947074</x:v>
      </x:c>
    </x:row>
    <x:row r="62">
      <x:c r="A62" s="120">
        <x:f t="shared" si="1"/>
        <x:v>38</x:v>
      </x:c>
      <x:c r="B62" s="120">
        <x:f t="shared" si="2"/>
        <x:v>5</x:v>
      </x:c>
      <x:c r="C62" s="120">
        <x:f t="shared" si="3"/>
        <x:v>187.5</x:v>
      </x:c>
      <x:c r="D62" s="124">
        <x:f t="shared" si="4"/>
        <x:v>8.526490066225226E-5</x:v>
      </x:c>
      <x:c r="E62" s="122">
        <x:f t="shared" si="5"/>
        <x:v>3.8737203907022826</x:v>
      </x:c>
      <x:c r="F62" s="120">
        <x:f t="shared" si="6"/>
        <x:v>0</x:v>
      </x:c>
      <x:c r="G62" s="122">
        <x:f t="shared" si="7"/>
        <x:v>3.8737203907022826</x:v>
      </x:c>
      <x:c r="H62" s="122">
        <x:f t="shared" si="8"/>
        <x:v>6.7790106837289938</x:v>
      </x:c>
      <x:c r="I62" s="125">
        <x:f t="shared" si="9"/>
        <x:v>4.6818181818182154</x:v>
      </x:c>
      <x:c r="J62" s="125">
        <x:f t="shared" si="10"/>
        <x:v>3.1738095473822336E-2</x:v>
      </x:c>
    </x:row>
    <x:row r="63">
      <x:c r="A63" s="120">
        <x:f t="shared" si="1"/>
        <x:v>39</x:v>
      </x:c>
      <x:c r="B63" s="120">
        <x:f t="shared" si="2"/>
        <x:v>5</x:v>
      </x:c>
      <x:c r="C63" s="120">
        <x:f t="shared" si="3"/>
        <x:v>192.5</x:v>
      </x:c>
      <x:c r="D63" s="124">
        <x:f t="shared" si="4"/>
        <x:v>-5.794701986754354E-6</x:v>
      </x:c>
      <x:c r="E63" s="122">
        <x:f t="shared" si="5"/>
        <x:v>0</x:v>
      </x:c>
      <x:c r="F63" s="120">
        <x:f t="shared" si="6"/>
        <x:v>-0.26326255082439726</x:v>
      </x:c>
      <x:c r="G63" s="122">
        <x:f t="shared" si="7"/>
        <x:v>-0.26326255082439726</x:v>
      </x:c>
      <x:c r="H63" s="122">
        <x:f t="shared" si="8"/>
        <x:v>-0.46070946394269519</x:v>
      </x:c>
      <x:c r="I63" s="125">
        <x:f t="shared" si="9"/>
        <x:v>-0.31818181818178459</x:v>
      </x:c>
      <x:c r="J63" s="125">
        <x:f t="shared" si="10"/>
        <x:v>1.4658937489084209E-4</x:v>
      </x:c>
    </x:row>
    <x:row r="64">
      <x:c r="A64" s="120">
        <x:f t="shared" si="1"/>
        <x:v>40</x:v>
      </x:c>
      <x:c r="B64" s="120">
        <x:f t="shared" si="2"/>
        <x:v>5</x:v>
      </x:c>
      <x:c r="C64" s="120">
        <x:f t="shared" si="3"/>
        <x:v>197.5</x:v>
      </x:c>
      <x:c r="D64" s="124">
        <x:f t="shared" si="4"/>
        <x:v>-9.6854304635760958E-5</x:v>
      </x:c>
      <x:c r="E64" s="122">
        <x:f t="shared" si="5"/>
        <x:v>0</x:v>
      </x:c>
      <x:c r="F64" s="120">
        <x:f t="shared" si="6"/>
        <x:v>-4.4002454923510763</x:v>
      </x:c>
      <x:c r="G64" s="122">
        <x:f t="shared" si="7"/>
        <x:v>-4.4002454923510763</x:v>
      </x:c>
      <x:c r="H64" s="122">
        <x:f t="shared" si="8"/>
        <x:v>-7.7004296116143829</x:v>
      </x:c>
      <x:c r="I64" s="125">
        <x:f t="shared" si="9"/>
        <x:v>-5.3181818181817846</x:v>
      </x:c>
      <x:c r="J64" s="125">
        <x:f t="shared" si="10"/>
        <x:v>4.0952284752676232E-2</x:v>
      </x:c>
    </x:row>
    <x:row r="65">
      <x:c r="A65" s="120">
        <x:f t="shared" si="1"/>
        <x:v>41</x:v>
      </x:c>
      <x:c r="B65" s="120">
        <x:f t="shared" si="2"/>
        <x:v>5</x:v>
      </x:c>
      <x:c r="C65" s="120">
        <x:f t="shared" si="3"/>
        <x:v>202.5</x:v>
      </x:c>
      <x:c r="D65" s="124">
        <x:f t="shared" si="4"/>
        <x:v>-1.8791390728476755E-4</x:v>
      </x:c>
      <x:c r="E65" s="122">
        <x:f t="shared" si="5"/>
        <x:v>0</x:v>
      </x:c>
      <x:c r="F65" s="120">
        <x:f t="shared" si="6"/>
        <x:v>-8.5</x:v>
      </x:c>
      <x:c r="G65" s="122">
        <x:f t="shared" si="7"/>
        <x:v>-8.5</x:v>
      </x:c>
      <x:c r="H65" s="122">
        <x:f t="shared" si="8"/>
        <x:v>-14.875</x:v>
      </x:c>
      <x:c r="I65" s="125">
        <x:f t="shared" si="9"/>
        <x:v>-10.318181818181785</x:v>
      </x:c>
      <x:c r="J65" s="125">
        <x:f t="shared" si="10"/>
        <x:v>0.15348295454545405</x:v>
      </x:c>
    </x:row>
    <x:row r="66">
      <x:c r="A66" s="120">
        <x:f t="shared" si="1"/>
        <x:v>42</x:v>
      </x:c>
      <x:c r="B66" s="120">
        <x:f t="shared" si="2"/>
        <x:v>5</x:v>
      </x:c>
      <x:c r="C66" s="120">
        <x:f t="shared" si="3"/>
        <x:v>207.5</x:v>
      </x:c>
      <x:c r="D66" s="124">
        <x:f t="shared" si="4"/>
        <x:v>-2.7897350993377415E-4</x:v>
      </x:c>
      <x:c r="E66" s="122">
        <x:f t="shared" si="5"/>
        <x:v>0</x:v>
      </x:c>
      <x:c r="F66" s="120">
        <x:f t="shared" si="6"/>
        <x:v>-8.5</x:v>
      </x:c>
      <x:c r="G66" s="122">
        <x:f t="shared" si="7"/>
        <x:v>-8.5</x:v>
      </x:c>
      <x:c r="H66" s="122">
        <x:f t="shared" si="8"/>
        <x:v>-14.875</x:v>
      </x:c>
      <x:c r="I66" s="125">
        <x:f t="shared" si="9"/>
        <x:v>-15.318181818181785</x:v>
      </x:c>
      <x:c r="J66" s="125">
        <x:f t="shared" si="10"/>
        <x:v>0.22785795454545404</x:v>
      </x:c>
    </x:row>
    <x:row r="67">
      <x:c r="A67" s="120">
        <x:f t="shared" si="1"/>
        <x:v>43</x:v>
      </x:c>
      <x:c r="B67" s="120">
        <x:f t="shared" si="2"/>
        <x:v>5</x:v>
      </x:c>
      <x:c r="C67" s="120">
        <x:f t="shared" si="3"/>
        <x:v>212.5</x:v>
      </x:c>
      <x:c r="D67" s="124">
        <x:f t="shared" si="4"/>
        <x:v>-3.700331125827808E-4</x:v>
      </x:c>
      <x:c r="E67" s="122">
        <x:f t="shared" si="5"/>
        <x:v>0</x:v>
      </x:c>
      <x:c r="F67" s="120">
        <x:f t="shared" si="6"/>
        <x:v>-8.5</x:v>
      </x:c>
      <x:c r="G67" s="122">
        <x:f t="shared" si="7"/>
        <x:v>-8.5</x:v>
      </x:c>
      <x:c r="H67" s="122">
        <x:f t="shared" si="8"/>
        <x:v>-14.875</x:v>
      </x:c>
      <x:c r="I67" s="125">
        <x:f t="shared" si="9"/>
        <x:v>-20.318181818181785</x:v>
      </x:c>
      <x:c r="J67" s="125">
        <x:f t="shared" si="10"/>
        <x:v>0.30223295454545407</x:v>
      </x:c>
    </x:row>
    <x:row r="68">
      <x:c r="A68" s="120">
        <x:f t="shared" si="1"/>
        <x:v>44</x:v>
      </x:c>
      <x:c r="B68" s="120">
        <x:f t="shared" si="2"/>
        <x:v>5</x:v>
      </x:c>
      <x:c r="C68" s="120">
        <x:f t="shared" si="3"/>
        <x:v>217.5</x:v>
      </x:c>
      <x:c r="D68" s="124">
        <x:f t="shared" si="4"/>
        <x:v>-4.6109271523178734E-4</x:v>
      </x:c>
      <x:c r="E68" s="122">
        <x:f t="shared" si="5"/>
        <x:v>0</x:v>
      </x:c>
      <x:c r="F68" s="120">
        <x:f t="shared" si="6"/>
        <x:v>-8.5</x:v>
      </x:c>
      <x:c r="G68" s="122">
        <x:f t="shared" si="7"/>
        <x:v>-8.5</x:v>
      </x:c>
      <x:c r="H68" s="122">
        <x:f t="shared" si="8"/>
        <x:v>-14.875</x:v>
      </x:c>
      <x:c r="I68" s="125">
        <x:f t="shared" si="9"/>
        <x:v>-25.318181818181785</x:v>
      </x:c>
      <x:c r="J68" s="125">
        <x:f t="shared" si="10"/>
        <x:v>0.37660795454545404</x:v>
      </x:c>
    </x:row>
    <x:row r="69">
      <x:c r="A69" s="120">
        <x:f t="shared" si="1"/>
        <x:v>45</x:v>
      </x:c>
      <x:c r="B69" s="120">
        <x:f t="shared" si="2"/>
        <x:v>5</x:v>
      </x:c>
      <x:c r="C69" s="120">
        <x:f t="shared" si="3"/>
        <x:v>222.5</x:v>
      </x:c>
      <x:c r="D69" s="124">
        <x:f t="shared" si="4"/>
        <x:v>-5.5215231788079393E-4</x:v>
      </x:c>
      <x:c r="E69" s="122">
        <x:f t="shared" si="5"/>
        <x:v>0</x:v>
      </x:c>
      <x:c r="F69" s="120">
        <x:f t="shared" si="6"/>
        <x:v>-8.5</x:v>
      </x:c>
      <x:c r="G69" s="122">
        <x:f t="shared" si="7"/>
        <x:v>-8.5</x:v>
      </x:c>
      <x:c r="H69" s="122">
        <x:f t="shared" si="8"/>
        <x:v>-14.875</x:v>
      </x:c>
      <x:c r="I69" s="125">
        <x:f t="shared" si="9"/>
        <x:v>-30.318181818181785</x:v>
      </x:c>
      <x:c r="J69" s="125">
        <x:f t="shared" si="10"/>
        <x:v>0.45098295454545406</x:v>
      </x:c>
    </x:row>
    <x:row r="70">
      <x:c r="A70" s="120">
        <x:f t="shared" si="1"/>
        <x:v>46</x:v>
      </x:c>
      <x:c r="B70" s="120">
        <x:f t="shared" si="2"/>
        <x:v>5</x:v>
      </x:c>
      <x:c r="C70" s="120">
        <x:f t="shared" si="3"/>
        <x:v>227.5</x:v>
      </x:c>
      <x:c r="D70" s="124">
        <x:f t="shared" si="4"/>
        <x:v>-6.4321192052980058E-4</x:v>
      </x:c>
      <x:c r="E70" s="122">
        <x:f t="shared" si="5"/>
        <x:v>0</x:v>
      </x:c>
      <x:c r="F70" s="120">
        <x:f t="shared" si="6"/>
        <x:v>-8.5</x:v>
      </x:c>
      <x:c r="G70" s="122">
        <x:f t="shared" si="7"/>
        <x:v>-8.5</x:v>
      </x:c>
      <x:c r="H70" s="122">
        <x:f t="shared" si="8"/>
        <x:v>-14.875</x:v>
      </x:c>
      <x:c r="I70" s="125">
        <x:f t="shared" si="9"/>
        <x:v>-35.318181818181785</x:v>
      </x:c>
      <x:c r="J70" s="125">
        <x:f t="shared" si="10"/>
        <x:v>0.52535795454545409</x:v>
      </x:c>
    </x:row>
    <x:row r="71">
      <x:c r="A71" s="120">
        <x:f t="shared" si="1"/>
        <x:v>47</x:v>
      </x:c>
      <x:c r="B71" s="120">
        <x:f t="shared" si="2"/>
        <x:v>5</x:v>
      </x:c>
      <x:c r="C71" s="120">
        <x:f t="shared" si="3"/>
        <x:v>232.5</x:v>
      </x:c>
      <x:c r="D71" s="124">
        <x:f t="shared" si="4"/>
        <x:v>-7.3427152317880723E-4</x:v>
      </x:c>
      <x:c r="E71" s="122">
        <x:f t="shared" si="5"/>
        <x:v>0</x:v>
      </x:c>
      <x:c r="F71" s="120">
        <x:f t="shared" si="6"/>
        <x:v>-8.5</x:v>
      </x:c>
      <x:c r="G71" s="122">
        <x:f t="shared" si="7"/>
        <x:v>-8.5</x:v>
      </x:c>
      <x:c r="H71" s="122">
        <x:f t="shared" si="8"/>
        <x:v>-14.875</x:v>
      </x:c>
      <x:c r="I71" s="125">
        <x:f t="shared" si="9"/>
        <x:v>-40.318181818181785</x:v>
      </x:c>
      <x:c r="J71" s="125">
        <x:f t="shared" si="10"/>
        <x:v>0.59973295454545406</x:v>
      </x:c>
    </x:row>
    <x:row r="72">
      <x:c r="A72" s="120">
        <x:f t="shared" si="1"/>
        <x:v>48</x:v>
      </x:c>
      <x:c r="B72" s="120">
        <x:f t="shared" si="2"/>
        <x:v>5</x:v>
      </x:c>
      <x:c r="C72" s="120">
        <x:f t="shared" si="3"/>
        <x:v>237.5</x:v>
      </x:c>
      <x:c r="D72" s="124">
        <x:f t="shared" si="4"/>
        <x:v>-8.2533112582781388E-4</x:v>
      </x:c>
      <x:c r="E72" s="122">
        <x:f t="shared" si="5"/>
        <x:v>0</x:v>
      </x:c>
      <x:c r="F72" s="120">
        <x:f t="shared" si="6"/>
        <x:v>-8.5</x:v>
      </x:c>
      <x:c r="G72" s="122">
        <x:f t="shared" si="7"/>
        <x:v>-8.5</x:v>
      </x:c>
      <x:c r="H72" s="122">
        <x:f t="shared" si="8"/>
        <x:v>-14.875</x:v>
      </x:c>
      <x:c r="I72" s="125">
        <x:f t="shared" si="9"/>
        <x:v>-45.318181818181785</x:v>
      </x:c>
      <x:c r="J72" s="125">
        <x:f t="shared" si="10"/>
        <x:v>0.67410795454545402</x:v>
      </x:c>
    </x:row>
    <x:row r="73">
      <x:c r="A73" s="120">
        <x:f t="shared" si="1"/>
        <x:v>49</x:v>
      </x:c>
      <x:c r="B73" s="120">
        <x:f t="shared" si="2"/>
        <x:v>5</x:v>
      </x:c>
      <x:c r="C73" s="120">
        <x:f t="shared" si="3"/>
        <x:v>242.5</x:v>
      </x:c>
      <x:c r="D73" s="124">
        <x:f t="shared" si="4"/>
        <x:v>-9.1639072847682042E-4</x:v>
      </x:c>
      <x:c r="E73" s="122">
        <x:f t="shared" si="5"/>
        <x:v>0</x:v>
      </x:c>
      <x:c r="F73" s="120">
        <x:f t="shared" si="6"/>
        <x:v>-8.5</x:v>
      </x:c>
      <x:c r="G73" s="122">
        <x:f t="shared" si="7"/>
        <x:v>-8.5</x:v>
      </x:c>
      <x:c r="H73" s="122">
        <x:f t="shared" si="8"/>
        <x:v>-14.875</x:v>
      </x:c>
      <x:c r="I73" s="125">
        <x:f t="shared" si="9"/>
        <x:v>-50.318181818181785</x:v>
      </x:c>
      <x:c r="J73" s="125">
        <x:f t="shared" si="10"/>
        <x:v>0.7484829545454541</x:v>
      </x:c>
    </x:row>
    <x:row r="74">
      <x:c r="A74" s="120">
        <x:f t="shared" si="1"/>
        <x:v>50</x:v>
      </x:c>
      <x:c r="B74" s="120">
        <x:f t="shared" si="2"/>
        <x:v>5</x:v>
      </x:c>
      <x:c r="C74" s="120">
        <x:f t="shared" si="3"/>
        <x:v>247.5</x:v>
      </x:c>
      <x:c r="D74" s="124">
        <x:f t="shared" si="4"/>
        <x:v>-1.0074503311258271E-3</x:v>
      </x:c>
      <x:c r="E74" s="122">
        <x:f t="shared" si="5"/>
        <x:v>0</x:v>
      </x:c>
      <x:c r="F74" s="120">
        <x:f t="shared" si="6"/>
        <x:v>-8.5</x:v>
      </x:c>
      <x:c r="G74" s="122">
        <x:f t="shared" si="7"/>
        <x:v>-8.5</x:v>
      </x:c>
      <x:c r="H74" s="122">
        <x:f t="shared" si="8"/>
        <x:v>-14.875</x:v>
      </x:c>
      <x:c r="I74" s="125">
        <x:f t="shared" si="9"/>
        <x:v>-55.318181818181785</x:v>
      </x:c>
      <x:c r="J74" s="125">
        <x:f t="shared" si="10"/>
        <x:v>0.82285795454545407</x:v>
      </x:c>
    </x:row>
    <x:row r="75">
      <x:c r="A75" s="120">
        <x:f t="shared" si="1"/>
        <x:v>51</x:v>
      </x:c>
      <x:c r="B75" s="120">
        <x:f t="shared" si="2"/>
        <x:v>5</x:v>
      </x:c>
      <x:c r="C75" s="120">
        <x:f t="shared" si="3"/>
        <x:v>252.5</x:v>
      </x:c>
      <x:c r="D75" s="124">
        <x:f t="shared" si="4"/>
        <x:v>-1.0985099337748336E-3</x:v>
      </x:c>
      <x:c r="E75" s="122">
        <x:f t="shared" si="5"/>
        <x:v>0</x:v>
      </x:c>
      <x:c r="F75" s="120">
        <x:f t="shared" si="6"/>
        <x:v>-8.5</x:v>
      </x:c>
      <x:c r="G75" s="122">
        <x:f t="shared" si="7"/>
        <x:v>-8.5</x:v>
      </x:c>
      <x:c r="H75" s="122">
        <x:f t="shared" si="8"/>
        <x:v>-14.875</x:v>
      </x:c>
      <x:c r="I75" s="125">
        <x:f t="shared" si="9"/>
        <x:v>-60.318181818181785</x:v>
      </x:c>
      <x:c r="J75" s="125">
        <x:f t="shared" si="10"/>
        <x:v>0.89723295454545404</x:v>
      </x:c>
    </x:row>
    <x:row r="76">
      <x:c r="A76" s="120">
        <x:f t="shared" si="1"/>
        <x:v>52</x:v>
      </x:c>
      <x:c r="B76" s="120">
        <x:f t="shared" si="2"/>
        <x:v>5</x:v>
      </x:c>
      <x:c r="C76" s="120">
        <x:f t="shared" si="3"/>
        <x:v>257.5</x:v>
      </x:c>
      <x:c r="D76" s="124">
        <x:f t="shared" si="4"/>
        <x:v>-1.1895695364238402E-3</x:v>
      </x:c>
      <x:c r="E76" s="122">
        <x:f t="shared" si="5"/>
        <x:v>0</x:v>
      </x:c>
      <x:c r="F76" s="120">
        <x:f t="shared" si="6"/>
        <x:v>-8.5</x:v>
      </x:c>
      <x:c r="G76" s="122">
        <x:f t="shared" si="7"/>
        <x:v>-8.5</x:v>
      </x:c>
      <x:c r="H76" s="122">
        <x:f t="shared" si="8"/>
        <x:v>-14.875</x:v>
      </x:c>
      <x:c r="I76" s="125">
        <x:f t="shared" si="9"/>
        <x:v>-65.318181818181785</x:v>
      </x:c>
      <x:c r="J76" s="125">
        <x:f t="shared" si="10"/>
        <x:v>0.97160795454545401</x:v>
      </x:c>
    </x:row>
    <x:row r="77">
      <x:c r="A77" s="120">
        <x:f t="shared" si="1"/>
        <x:v>53</x:v>
      </x:c>
      <x:c r="B77" s="120">
        <x:f t="shared" si="2"/>
        <x:v>5</x:v>
      </x:c>
      <x:c r="C77" s="120">
        <x:f t="shared" si="3"/>
        <x:v>262.5</x:v>
      </x:c>
      <x:c r="D77" s="124">
        <x:f t="shared" si="4"/>
        <x:v>-1.2806291390728469E-3</x:v>
      </x:c>
      <x:c r="E77" s="122">
        <x:f t="shared" si="5"/>
        <x:v>0</x:v>
      </x:c>
      <x:c r="F77" s="120">
        <x:f t="shared" si="6"/>
        <x:v>-8.5</x:v>
      </x:c>
      <x:c r="G77" s="122">
        <x:f t="shared" si="7"/>
        <x:v>-8.5</x:v>
      </x:c>
      <x:c r="H77" s="122">
        <x:f t="shared" si="8"/>
        <x:v>-14.875</x:v>
      </x:c>
      <x:c r="I77" s="125">
        <x:f t="shared" si="9"/>
        <x:v>-70.318181818181785</x:v>
      </x:c>
      <x:c r="J77" s="125">
        <x:f t="shared" si="10"/>
        <x:v>1.045982954545454</x:v>
      </x:c>
    </x:row>
    <x:row r="78">
      <x:c r="A78" s="120">
        <x:f t="shared" si="1"/>
        <x:v>54</x:v>
      </x:c>
      <x:c r="B78" s="120">
        <x:f t="shared" si="2"/>
        <x:v>5</x:v>
      </x:c>
      <x:c r="C78" s="120">
        <x:f t="shared" si="3"/>
        <x:v>267.5</x:v>
      </x:c>
      <x:c r="D78" s="124">
        <x:f t="shared" si="4"/>
        <x:v>-1.3716887417218537E-3</x:v>
      </x:c>
      <x:c r="E78" s="122">
        <x:f t="shared" si="5"/>
        <x:v>0</x:v>
      </x:c>
      <x:c r="F78" s="120">
        <x:f t="shared" si="6"/>
        <x:v>-8.5</x:v>
      </x:c>
      <x:c r="G78" s="122">
        <x:f t="shared" si="7"/>
        <x:v>-8.5</x:v>
      </x:c>
      <x:c r="H78" s="122">
        <x:f t="shared" si="8"/>
        <x:v>-14.875</x:v>
      </x:c>
      <x:c r="I78" s="125">
        <x:f t="shared" si="9"/>
        <x:v>-75.318181818181785</x:v>
      </x:c>
      <x:c r="J78" s="125">
        <x:f t="shared" si="10"/>
        <x:v>1.1203579545454541</x:v>
      </x:c>
    </x:row>
    <x:row r="79">
      <x:c r="A79" s="120">
        <x:f t="shared" si="1"/>
        <x:v>55</x:v>
      </x:c>
      <x:c r="B79" s="120">
        <x:f t="shared" si="2"/>
        <x:v>5</x:v>
      </x:c>
      <x:c r="C79" s="120">
        <x:f t="shared" si="3"/>
        <x:v>272.5</x:v>
      </x:c>
      <x:c r="D79" s="124">
        <x:f t="shared" si="4"/>
        <x:v>-1.46274834437086E-3</x:v>
      </x:c>
      <x:c r="E79" s="122">
        <x:f t="shared" si="5"/>
        <x:v>0</x:v>
      </x:c>
      <x:c r="F79" s="120">
        <x:f t="shared" si="6"/>
        <x:v>-8.5</x:v>
      </x:c>
      <x:c r="G79" s="122">
        <x:f t="shared" si="7"/>
        <x:v>-8.5</x:v>
      </x:c>
      <x:c r="H79" s="122">
        <x:f t="shared" si="8"/>
        <x:v>-14.875</x:v>
      </x:c>
      <x:c r="I79" s="125">
        <x:f t="shared" si="9"/>
        <x:v>-80.318181818181785</x:v>
      </x:c>
      <x:c r="J79" s="125">
        <x:f t="shared" si="10"/>
        <x:v>1.1947329545454541</x:v>
      </x:c>
    </x:row>
    <x:row r="80">
      <x:c r="A80" s="120">
        <x:f t="shared" si="1"/>
        <x:v>56</x:v>
      </x:c>
      <x:c r="B80" s="120">
        <x:f t="shared" si="2"/>
        <x:v>5</x:v>
      </x:c>
      <x:c r="C80" s="120">
        <x:f t="shared" si="3"/>
        <x:v>277.5</x:v>
      </x:c>
      <x:c r="D80" s="124">
        <x:f t="shared" si="4"/>
        <x:v>-1.5538079470198668E-3</x:v>
      </x:c>
      <x:c r="E80" s="122">
        <x:f t="shared" si="5"/>
        <x:v>0</x:v>
      </x:c>
      <x:c r="F80" s="120">
        <x:f t="shared" si="6"/>
        <x:v>-8.5</x:v>
      </x:c>
      <x:c r="G80" s="122">
        <x:f t="shared" si="7"/>
        <x:v>-8.5</x:v>
      </x:c>
      <x:c r="H80" s="122">
        <x:f t="shared" si="8"/>
        <x:v>-14.875</x:v>
      </x:c>
      <x:c r="I80" s="125">
        <x:f t="shared" si="9"/>
        <x:v>-85.318181818181785</x:v>
      </x:c>
      <x:c r="J80" s="125">
        <x:f t="shared" si="10"/>
        <x:v>1.269107954545454</x:v>
      </x:c>
    </x:row>
    <x:row r="81">
      <x:c r="A81" s="120">
        <x:f t="shared" si="1"/>
        <x:v>57</x:v>
      </x:c>
      <x:c r="B81" s="120">
        <x:f t="shared" si="2"/>
        <x:v>5</x:v>
      </x:c>
      <x:c r="C81" s="120">
        <x:f t="shared" si="3"/>
        <x:v>282.5</x:v>
      </x:c>
      <x:c r="D81" s="124">
        <x:f t="shared" si="4"/>
        <x:v>-1.6448675496688733E-3</x:v>
      </x:c>
      <x:c r="E81" s="122">
        <x:f t="shared" si="5"/>
        <x:v>0</x:v>
      </x:c>
      <x:c r="F81" s="120">
        <x:f t="shared" si="6"/>
        <x:v>-8.5</x:v>
      </x:c>
      <x:c r="G81" s="122">
        <x:f t="shared" si="7"/>
        <x:v>-8.5</x:v>
      </x:c>
      <x:c r="H81" s="122">
        <x:f t="shared" si="8"/>
        <x:v>-14.875</x:v>
      </x:c>
      <x:c r="I81" s="125">
        <x:f t="shared" si="9"/>
        <x:v>-90.318181818181785</x:v>
      </x:c>
      <x:c r="J81" s="125">
        <x:f t="shared" si="10"/>
        <x:v>1.3434829545454541</x:v>
      </x:c>
    </x:row>
    <x:row r="82">
      <x:c r="A82" s="120">
        <x:f t="shared" si="1"/>
        <x:v>58</x:v>
      </x:c>
      <x:c r="B82" s="120">
        <x:f t="shared" si="2"/>
        <x:v>5</x:v>
      </x:c>
      <x:c r="C82" s="120">
        <x:f t="shared" si="3"/>
        <x:v>287.5</x:v>
      </x:c>
      <x:c r="D82" s="124">
        <x:f t="shared" si="4"/>
        <x:v>-1.7359271523178801E-3</x:v>
      </x:c>
      <x:c r="E82" s="122">
        <x:f t="shared" si="5"/>
        <x:v>0</x:v>
      </x:c>
      <x:c r="F82" s="120">
        <x:f t="shared" si="6"/>
        <x:v>-8.5</x:v>
      </x:c>
      <x:c r="G82" s="122">
        <x:f t="shared" si="7"/>
        <x:v>-8.5</x:v>
      </x:c>
      <x:c r="H82" s="122">
        <x:f t="shared" si="8"/>
        <x:v>-14.875</x:v>
      </x:c>
      <x:c r="I82" s="125">
        <x:f t="shared" si="9"/>
        <x:v>-95.318181818181785</x:v>
      </x:c>
      <x:c r="J82" s="125">
        <x:f t="shared" si="10"/>
        <x:v>1.4178579545454542</x:v>
      </x:c>
    </x:row>
    <x:row r="83">
      <x:c r="A83" s="120">
        <x:f t="shared" si="1"/>
        <x:v>59</x:v>
      </x:c>
      <x:c r="B83" s="120">
        <x:f t="shared" si="2"/>
        <x:v>5</x:v>
      </x:c>
      <x:c r="C83" s="120">
        <x:f t="shared" si="3"/>
        <x:v>292.5</x:v>
      </x:c>
      <x:c r="D83" s="124">
        <x:f t="shared" si="4"/>
        <x:v>-1.8269867549668864E-3</x:v>
      </x:c>
      <x:c r="E83" s="122">
        <x:f t="shared" si="5"/>
        <x:v>0</x:v>
      </x:c>
      <x:c r="F83" s="120">
        <x:f t="shared" si="6"/>
        <x:v>-8.5</x:v>
      </x:c>
      <x:c r="G83" s="122">
        <x:f t="shared" si="7"/>
        <x:v>-8.5</x:v>
      </x:c>
      <x:c r="H83" s="122">
        <x:f t="shared" si="8"/>
        <x:v>-14.875</x:v>
      </x:c>
      <x:c r="I83" s="125">
        <x:f t="shared" si="9"/>
        <x:v>-100.31818181818178</x:v>
      </x:c>
      <x:c r="J83" s="125">
        <x:f t="shared" si="10"/>
        <x:v>1.492232954545454</x:v>
      </x:c>
    </x:row>
    <x:row r="84">
      <x:c r="A84" s="120">
        <x:f t="shared" si="1"/>
        <x:v>60</x:v>
      </x:c>
      <x:c r="B84" s="120">
        <x:f t="shared" si="2"/>
        <x:v>5</x:v>
      </x:c>
      <x:c r="C84" s="120">
        <x:f t="shared" si="3"/>
        <x:v>297.5</x:v>
      </x:c>
      <x:c r="D84" s="124">
        <x:f t="shared" si="4"/>
        <x:v>-1.9180463576158931E-3</x:v>
      </x:c>
      <x:c r="E84" s="122">
        <x:f t="shared" si="5"/>
        <x:v>0</x:v>
      </x:c>
      <x:c r="F84" s="120">
        <x:f t="shared" si="6"/>
        <x:v>-8.5</x:v>
      </x:c>
      <x:c r="G84" s="122">
        <x:f t="shared" si="7"/>
        <x:v>-8.5</x:v>
      </x:c>
      <x:c r="H84" s="122">
        <x:f t="shared" si="8"/>
        <x:v>-14.875</x:v>
      </x:c>
      <x:c r="I84" s="125">
        <x:f t="shared" si="9"/>
        <x:v>-105.31818181818178</x:v>
      </x:c>
      <x:c r="J84" s="125">
        <x:f t="shared" si="10"/>
        <x:v>1.5666079545454541</x:v>
      </x:c>
    </x:row>
    <x:row r="85">
      <x:c r="A85" s="120">
        <x:f t="shared" si="1"/>
        <x:v>61</x:v>
      </x:c>
      <x:c r="B85" s="120">
        <x:f t="shared" si="2"/>
        <x:v>5</x:v>
      </x:c>
      <x:c r="C85" s="120">
        <x:f t="shared" si="3"/>
        <x:v>302.5</x:v>
      </x:c>
      <x:c r="D85" s="124">
        <x:f t="shared" si="4"/>
        <x:v>-2.0091059602648999E-3</x:v>
      </x:c>
      <x:c r="E85" s="122">
        <x:f t="shared" si="5"/>
        <x:v>0</x:v>
      </x:c>
      <x:c r="F85" s="120">
        <x:f t="shared" si="6"/>
        <x:v>-8.5</x:v>
      </x:c>
      <x:c r="G85" s="122">
        <x:f t="shared" si="7"/>
        <x:v>-8.5</x:v>
      </x:c>
      <x:c r="H85" s="122">
        <x:f t="shared" si="8"/>
        <x:v>-14.875</x:v>
      </x:c>
      <x:c r="I85" s="125">
        <x:f t="shared" si="9"/>
        <x:v>-110.31818181818178</x:v>
      </x:c>
      <x:c r="J85" s="125">
        <x:f t="shared" si="10"/>
        <x:v>1.640982954545454</x:v>
      </x:c>
    </x:row>
    <x:row r="86">
      <x:c r="A86" s="120">
        <x:f t="shared" si="1"/>
        <x:v>62</x:v>
      </x:c>
      <x:c r="B86" s="120">
        <x:f t="shared" si="2"/>
        <x:v>5</x:v>
      </x:c>
      <x:c r="C86" s="120">
        <x:f t="shared" si="3"/>
        <x:v>307.5</x:v>
      </x:c>
      <x:c r="D86" s="124">
        <x:f t="shared" si="4"/>
        <x:v>-2.1001655629139062E-3</x:v>
      </x:c>
      <x:c r="E86" s="122">
        <x:f t="shared" si="5"/>
        <x:v>0</x:v>
      </x:c>
      <x:c r="F86" s="120">
        <x:f t="shared" si="6"/>
        <x:v>-8.5</x:v>
      </x:c>
      <x:c r="G86" s="122">
        <x:f t="shared" si="7"/>
        <x:v>-8.5</x:v>
      </x:c>
      <x:c r="H86" s="122">
        <x:f t="shared" si="8"/>
        <x:v>-14.875</x:v>
      </x:c>
      <x:c r="I86" s="125">
        <x:f t="shared" si="9"/>
        <x:v>-115.31818181818178</x:v>
      </x:c>
      <x:c r="J86" s="125">
        <x:f t="shared" si="10"/>
        <x:v>1.715357954545454</x:v>
      </x:c>
    </x:row>
    <x:row r="87">
      <x:c r="A87" s="120">
        <x:f t="shared" si="1"/>
        <x:v>63</x:v>
      </x:c>
      <x:c r="B87" s="120">
        <x:f t="shared" si="2"/>
        <x:v>5</x:v>
      </x:c>
      <x:c r="C87" s="120">
        <x:f t="shared" si="3"/>
        <x:v>312.5</x:v>
      </x:c>
      <x:c r="D87" s="124">
        <x:f t="shared" si="4"/>
        <x:v>-2.191225165562913E-3</x:v>
      </x:c>
      <x:c r="E87" s="122">
        <x:f t="shared" si="5"/>
        <x:v>0</x:v>
      </x:c>
      <x:c r="F87" s="120">
        <x:f t="shared" si="6"/>
        <x:v>-8.5</x:v>
      </x:c>
      <x:c r="G87" s="122">
        <x:f t="shared" si="7"/>
        <x:v>-8.5</x:v>
      </x:c>
      <x:c r="H87" s="122">
        <x:f t="shared" si="8"/>
        <x:v>-14.875</x:v>
      </x:c>
      <x:c r="I87" s="125">
        <x:f t="shared" si="9"/>
        <x:v>-120.31818181818178</x:v>
      </x:c>
      <x:c r="J87" s="125">
        <x:f t="shared" si="10"/>
        <x:v>1.7897329545454541</x:v>
      </x:c>
    </x:row>
    <x:row r="88">
      <x:c r="A88" s="120">
        <x:f t="shared" si="1"/>
        <x:v>64</x:v>
      </x:c>
      <x:c r="B88" s="120">
        <x:f t="shared" si="2"/>
        <x:v>5</x:v>
      </x:c>
      <x:c r="C88" s="120">
        <x:f t="shared" si="3"/>
        <x:v>317.5</x:v>
      </x:c>
      <x:c r="D88" s="124">
        <x:f t="shared" si="4"/>
        <x:v>-2.2822847682119197E-3</x:v>
      </x:c>
      <x:c r="E88" s="122">
        <x:f t="shared" si="5"/>
        <x:v>0</x:v>
      </x:c>
      <x:c r="F88" s="120">
        <x:f t="shared" si="6"/>
        <x:v>-8.5</x:v>
      </x:c>
      <x:c r="G88" s="122">
        <x:f t="shared" si="7"/>
        <x:v>-8.5</x:v>
      </x:c>
      <x:c r="H88" s="122">
        <x:f t="shared" si="8"/>
        <x:v>-14.875</x:v>
      </x:c>
      <x:c r="I88" s="125">
        <x:f t="shared" si="9"/>
        <x:v>-125.31818181818178</x:v>
      </x:c>
      <x:c r="J88" s="125">
        <x:f t="shared" si="10"/>
        <x:v>1.864107954545454</x:v>
      </x:c>
    </x:row>
    <x:row r="89">
      <x:c r="A89" s="120">
        <x:f t="shared" si="1"/>
        <x:v>65</x:v>
      </x:c>
      <x:c r="B89" s="120">
        <x:f t="shared" si="2"/>
        <x:v>5</x:v>
      </x:c>
      <x:c r="C89" s="120">
        <x:f t="shared" si="3"/>
        <x:v>322.5</x:v>
      </x:c>
      <x:c r="D89" s="124">
        <x:f t="shared" si="4"/>
        <x:v>-2.3733443708609265E-3</x:v>
      </x:c>
      <x:c r="E89" s="122">
        <x:f t="shared" si="5"/>
        <x:v>0</x:v>
      </x:c>
      <x:c r="F89" s="120">
        <x:f t="shared" si="6"/>
        <x:v>-8.5</x:v>
      </x:c>
      <x:c r="G89" s="122">
        <x:f t="shared" si="7"/>
        <x:v>-8.5</x:v>
      </x:c>
      <x:c r="H89" s="122">
        <x:f t="shared" si="8"/>
        <x:v>-14.875</x:v>
      </x:c>
      <x:c r="I89" s="125">
        <x:f t="shared" si="9"/>
        <x:v>-130.31818181818178</x:v>
      </x:c>
      <x:c r="J89" s="125">
        <x:f t="shared" si="10"/>
        <x:v>1.9384829545454541</x:v>
      </x:c>
    </x:row>
    <x:row r="90">
      <x:c r="A90" s="120">
        <x:f t="shared" si="1"/>
        <x:v>66</x:v>
      </x:c>
      <x:c r="B90" s="120">
        <x:f t="shared" si="2"/>
        <x:v>5</x:v>
      </x:c>
      <x:c r="C90" s="120">
        <x:f t="shared" si="3"/>
        <x:v>327.5</x:v>
      </x:c>
      <x:c r="D90" s="124">
        <x:f t="shared" si="4"/>
        <x:v>-2.4644039735099328E-3</x:v>
      </x:c>
      <x:c r="E90" s="122">
        <x:f t="shared" si="5"/>
        <x:v>0</x:v>
      </x:c>
      <x:c r="F90" s="120">
        <x:f t="shared" si="6"/>
        <x:v>-8.5</x:v>
      </x:c>
      <x:c r="G90" s="122">
        <x:f t="shared" si="7"/>
        <x:v>-8.5</x:v>
      </x:c>
      <x:c r="H90" s="122">
        <x:f t="shared" si="8"/>
        <x:v>-14.875</x:v>
      </x:c>
      <x:c r="I90" s="125">
        <x:f t="shared" si="9"/>
        <x:v>-135.31818181818178</x:v>
      </x:c>
      <x:c r="J90" s="125">
        <x:f t="shared" si="10"/>
        <x:v>2.0128579545454541</x:v>
      </x:c>
    </x:row>
    <x:row r="91">
      <x:c r="A91" s="120">
        <x:f t="shared" si="1"/>
        <x:v>67</x:v>
      </x:c>
      <x:c r="B91" s="120">
        <x:f t="shared" si="2"/>
        <x:v>5</x:v>
      </x:c>
      <x:c r="C91" s="120">
        <x:f t="shared" si="3"/>
        <x:v>332.5</x:v>
      </x:c>
      <x:c r="D91" s="124">
        <x:f t="shared" si="4"/>
        <x:v>-2.5554635761589396E-3</x:v>
      </x:c>
      <x:c r="E91" s="122">
        <x:f t="shared" si="5"/>
        <x:v>0</x:v>
      </x:c>
      <x:c r="F91" s="120">
        <x:f t="shared" si="6"/>
        <x:v>-8.5</x:v>
      </x:c>
      <x:c r="G91" s="122">
        <x:f t="shared" si="7"/>
        <x:v>-8.5</x:v>
      </x:c>
      <x:c r="H91" s="122">
        <x:f t="shared" si="8"/>
        <x:v>-14.875</x:v>
      </x:c>
      <x:c r="I91" s="125">
        <x:f t="shared" si="9"/>
        <x:v>-140.31818181818178</x:v>
      </x:c>
      <x:c r="J91" s="125">
        <x:f t="shared" si="10"/>
        <x:v>2.087232954545454</x:v>
      </x:c>
    </x:row>
    <x:row r="92">
      <x:c r="A92" s="120">
        <x:f t="shared" si="1"/>
        <x:v>68</x:v>
      </x:c>
      <x:c r="B92" s="120">
        <x:f t="shared" si="2"/>
        <x:v>5</x:v>
      </x:c>
      <x:c r="C92" s="120">
        <x:f t="shared" si="3"/>
        <x:v>337.5</x:v>
      </x:c>
      <x:c r="D92" s="124">
        <x:f t="shared" si="4"/>
        <x:v>-2.6465231788079459E-3</x:v>
      </x:c>
      <x:c r="E92" s="122">
        <x:f t="shared" si="5"/>
        <x:v>0</x:v>
      </x:c>
      <x:c r="F92" s="120">
        <x:f t="shared" si="6"/>
        <x:v>-8.5</x:v>
      </x:c>
      <x:c r="G92" s="122">
        <x:f t="shared" si="7"/>
        <x:v>-8.5</x:v>
      </x:c>
      <x:c r="H92" s="122">
        <x:f t="shared" si="8"/>
        <x:v>-14.875</x:v>
      </x:c>
      <x:c r="I92" s="125">
        <x:f t="shared" si="9"/>
        <x:v>-145.31818181818178</x:v>
      </x:c>
      <x:c r="J92" s="125">
        <x:f t="shared" si="10"/>
        <x:v>2.1616079545454538</x:v>
      </x:c>
    </x:row>
    <x:row r="93">
      <x:c r="A93" s="120">
        <x:f t="shared" si="1"/>
        <x:v>69</x:v>
      </x:c>
      <x:c r="B93" s="120">
        <x:f t="shared" si="2"/>
        <x:v>5</x:v>
      </x:c>
      <x:c r="C93" s="120">
        <x:f t="shared" si="3"/>
        <x:v>342.5</x:v>
      </x:c>
      <x:c r="D93" s="124">
        <x:f t="shared" si="4"/>
        <x:v>-2.7375827814569527E-3</x:v>
      </x:c>
      <x:c r="E93" s="122">
        <x:f t="shared" si="5"/>
        <x:v>0</x:v>
      </x:c>
      <x:c r="F93" s="120">
        <x:f t="shared" si="6"/>
        <x:v>-8.5</x:v>
      </x:c>
      <x:c r="G93" s="122">
        <x:f t="shared" si="7"/>
        <x:v>-8.5</x:v>
      </x:c>
      <x:c r="H93" s="122">
        <x:f t="shared" si="8"/>
        <x:v>-14.875</x:v>
      </x:c>
      <x:c r="I93" s="125">
        <x:f t="shared" si="9"/>
        <x:v>-150.31818181818178</x:v>
      </x:c>
      <x:c r="J93" s="125">
        <x:f t="shared" si="10"/>
        <x:v>2.2359829545454541</x:v>
      </x:c>
    </x:row>
    <x:row r="94">
      <x:c r="A94" s="103">
        <x:f t="shared" si="1"/>
        <x:v>70</x:v>
      </x:c>
      <x:c r="B94" s="103">
        <x:f t="shared" si="2"/>
        <x:v>5</x:v>
      </x:c>
      <x:c r="C94" s="103">
        <x:f t="shared" si="3"/>
        <x:v>347.5</x:v>
      </x:c>
      <x:c r="D94" s="134">
        <x:f t="shared" si="4"/>
        <x:v>-2.828642384105959E-3</x:v>
      </x:c>
      <x:c r="E94" s="128">
        <x:f t="shared" si="5"/>
        <x:v>0</x:v>
      </x:c>
      <x:c r="F94" s="103">
        <x:f t="shared" si="6"/>
        <x:v>-8.5</x:v>
      </x:c>
      <x:c r="G94" s="128">
        <x:f t="shared" si="7"/>
        <x:v>-8.5</x:v>
      </x:c>
      <x:c r="H94" s="128">
        <x:f t="shared" si="8"/>
        <x:v>-14.875</x:v>
      </x:c>
      <x:c r="I94" s="135">
        <x:f t="shared" si="9"/>
        <x:v>-155.31818181818178</x:v>
      </x:c>
      <x:c r="J94" s="135">
        <x:f t="shared" si="10"/>
        <x:v>2.310357954545454</x:v>
      </x:c>
    </x:row>
    <x:row r="95">
      <x:c r="D95" s="136"/>
    </x:row>
  </x:sheetData>
  <x:mergeCells>
    <x:mergeCell ref="F14:G14"/>
    <x:mergeCell ref="A15:B15"/>
    <x:mergeCell ref="A1:G1"/>
    <x:mergeCell ref="A2:B2"/>
    <x:mergeCell ref="C2:D2"/>
    <x:mergeCell ref="A6:B6"/>
    <x:mergeCell ref="F6:H6"/>
    <x:mergeCell ref="F7:G7"/>
    <x:mergeCell ref="F8:G8"/>
    <x:mergeCell ref="F9:G9"/>
    <x:mergeCell ref="F10:G10"/>
    <x:mergeCell ref="F11:G11"/>
    <x:mergeCell ref="F12:G12"/>
    <x:mergeCell ref="F13:G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2.5703125" defaultRowHeight="15.75"/>
  <x:cols>
    <x:col min="10" max="10" width="16.7109375" customWidth="1"/>
    <x:col min="20" max="20" width="16.28515625" customWidth="1"/>
  </x:cols>
  <x:sheetData>
    <x:row r="1">
      <x:c r="A1" s="144" t="s">
        <x:v>0</x:v>
      </x:c>
      <x:c r="B1" s="145"/>
      <x:c r="C1" s="145"/>
      <x:c r="D1" s="145"/>
      <x:c r="E1" s="145"/>
      <x:c r="F1" s="145"/>
      <x:c r="G1" s="146"/>
    </x:row>
    <x:row r="2">
      <x:c r="A2" s="147" t="s">
        <x:v>1</x:v>
      </x:c>
      <x:c r="B2" s="146"/>
      <x:c r="C2" s="147" t="s">
        <x:v>2</x:v>
      </x:c>
      <x:c r="D2" s="156"/>
      <x:c r="E2" s="100" t="s">
        <x:v>104</x:v>
      </x:c>
      <x:c r="F2" s="101" t="s">
        <x:v>105</x:v>
      </x:c>
      <x:c r="G2" s="102" t="s">
        <x:v>19</x:v>
      </x:c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E3" s="103" t="s">
        <x:v>106</x:v>
      </x:c>
      <x:c r="F3" s="104" t="s">
        <x:v>107</x:v>
      </x:c>
      <x:c r="G3" s="105" t="n">
        <x:f>$B$11/($B$11+0.003)*$D$17</x:f>
        <x:v>162.6153846153846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E4" s="106" t="s">
        <x:v>108</x:v>
      </x:c>
      <x:c r="F4" s="107" t="s">
        <x:v>109</x:v>
      </x:c>
      <x:c r="G4" s="108">
        <x:v>5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8" t="s">
        <x:v>60</x:v>
      </x:c>
      <x:c r="G6" s="145"/>
      <x:c r="H6" s="146"/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9" t="s">
        <x:v>91</x:v>
      </x:c>
      <x:c r="G7" s="160"/>
      <x:c r="H7" s="109" t="n">
        <x:f>SUMIF(H25:H94,"&gt;0",H25:H94)</x:f>
        <x:v>4102.9676031555555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  <x:c r="F8" s="157" t="s">
        <x:v>92</x:v>
      </x:c>
      <x:c r="G8" s="141"/>
      <x:c r="H8" s="110" t="n">
        <x:f>SUMIF(H25:H94,"&lt;0",H25:H94)</x:f>
        <x:v>-543.8585859886755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  <x:c r="F9" s="157" t="s">
        <x:v>93</x:v>
      </x:c>
      <x:c r="G9" s="141"/>
      <x:c r="H9" s="111" t="n">
        <x:f>SUM(R25:R28)</x:f>
        <x:v>-45.01923077843543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7" t="s">
        <x:v>94</x:v>
      </x:c>
      <x:c r="G10" s="141"/>
      <x:c r="H10" s="111" t="n">
        <x:f>H7+H8+H9</x:f>
        <x:v>3514.0897863884447</x:v>
      </x:c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7" t="s">
        <x:v>110</x:v>
      </x:c>
      <x:c r="G11" s="141"/>
      <x:c r="H11" s="112" t="n">
        <x:f>SUM(J25:J94)</x:f>
        <x:v>481.15482901163335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7" t="s">
        <x:v>111</x:v>
      </x:c>
      <x:c r="G12" s="141"/>
      <x:c r="H12" s="111" t="n">
        <x:f>SUM(T25:T28)</x:f>
        <x:v>92.86918341214624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7" t="s">
        <x:v>112</x:v>
      </x:c>
      <x:c r="G13" s="141"/>
      <x:c r="H13" s="112" t="n">
        <x:f>H11+H12</x:f>
        <x:v>574.0240124237796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7" t="s">
        <x:v>95</x:v>
      </x:c>
      <x:c r="G14" s="141"/>
      <x:c r="H14" s="112" t="n">
        <x:f>H13+H10*($B$4/2-$G$3)/1000</x:f>
        <x:v>617.5446628552057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0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0"/>
        <x:v>402.12385965949352</x:v>
      </x:c>
    </x:row>
    <x:row r="19">
      <x:c r="A19" s="6" t="s">
        <x:v>47</x:v>
      </x:c>
      <x:c r="B19" s="33">
        <x:f t="shared" si="0"/>
        <x:v>402.12385965949352</x:v>
      </x:c>
    </x:row>
    <x:row r="20">
      <x:c r="A20" s="6" t="s">
        <x:v>50</x:v>
      </x:c>
      <x:c r="B20" s="33">
        <x:f t="shared" si="0"/>
        <x:v>804.24771931898704</x:v>
      </x:c>
    </x:row>
    <x:row r="21">
      <x:c r="A21" s="6" t="s">
        <x:v>55</x:v>
      </x:c>
      <x:c r="B21" s="33" t="n">
        <x:f>B17+B18+B19+B20</x:f>
        <x:v>2412.743157956961</x:v>
      </x:c>
    </x:row>
    <x:row r="24">
      <x:c r="A24" s="106" t="s">
        <x:v>113</x:v>
      </x:c>
      <x:c r="B24" s="106" t="s">
        <x:v>109</x:v>
      </x:c>
      <x:c r="C24" s="106" t="s">
        <x:v>114</x:v>
      </x:c>
      <x:c r="D24" s="106" t="s">
        <x:v>115</x:v>
      </x:c>
      <x:c r="E24" s="106" t="s">
        <x:v>116</x:v>
      </x:c>
      <x:c r="F24" s="106" t="s">
        <x:v>117</x:v>
      </x:c>
      <x:c r="G24" s="106" t="s">
        <x:v>118</x:v>
      </x:c>
      <x:c r="H24" s="106" t="s">
        <x:v>119</x:v>
      </x:c>
      <x:c r="I24" s="106" t="s">
        <x:v>120</x:v>
      </x:c>
      <x:c r="J24" s="106" t="s">
        <x:v>110</x:v>
      </x:c>
      <x:c r="L24" s="113" t="s">
        <x:v>121</x:v>
      </x:c>
      <x:c r="M24" s="114" t="s">
        <x:v>122</x:v>
      </x:c>
      <x:c r="N24" s="114" t="s">
        <x:v>123</x:v>
      </x:c>
      <x:c r="O24" s="114" t="s">
        <x:v>74</x:v>
      </x:c>
      <x:c r="P24" s="114" t="s">
        <x:v>124</x:v>
      </x:c>
      <x:c r="Q24" s="114" t="s">
        <x:v>125</x:v>
      </x:c>
      <x:c r="R24" s="114" t="s">
        <x:v>126</x:v>
      </x:c>
      <x:c r="S24" s="114" t="s">
        <x:v>127</x:v>
      </x:c>
      <x:c r="T24" s="115" t="s">
        <x:v>111</x:v>
      </x:c>
    </x:row>
    <x:row r="25">
      <x:c r="A25" s="116" t="n">
        <x:f t="shared" ref="A25:A94" si="1">ROW()-24</x:f>
        <x:v>1</x:v>
      </x:c>
      <x:c r="B25" s="116" t="n">
        <x:f t="shared" ref="B25:B94" si="2">$G$4</x:f>
        <x:v>5</x:v>
      </x:c>
      <x:c r="C25" s="116" t="n">
        <x:f t="shared" ref="C25:C94" si="3">(A25-0.5)*$G$4</x:f>
        <x:v>2.5</x:v>
      </x:c>
      <x:c r="D25" s="117" t="n">
        <x:f t="shared" ref="D25:D94" si="4">$B$11*($G$3-C25)/$G$3</x:f>
        <x:v>0.0034461920529801327</x:v>
      </x:c>
      <x:c r="E25" s="116" t="n">
        <x:f t="shared" ref="E25:E94" si="5">IF(D25&gt;=0,MIN($B$9*D25,$B$10*$B$7),0)</x:f>
        <x:v>110.5</x:v>
      </x:c>
      <x:c r="F25" s="116" t="n">
        <x:f t="shared" ref="F25:F94" si="6">IF(D25&lt;0,IF(ABS(D25)&lt;=$B$12,-MIN($B$9*ABS(D25),$B$8),0),0)</x:f>
        <x:v>0</x:v>
      </x:c>
      <x:c r="G25" s="116" t="n">
        <x:f t="shared" ref="G25:G94" si="7">E25+F25</x:f>
        <x:v>110.5</x:v>
      </x:c>
      <x:c r="H25" s="116" t="n">
        <x:f t="shared" ref="H25:H94" si="8">G25*$B$3*B25/1000</x:f>
        <x:v>193.375</x:v>
      </x:c>
      <x:c r="I25" s="119" t="n">
        <x:f t="shared" ref="I25:I94" si="9">$G$3-C25</x:f>
        <x:v>160.1153846153846</x:v>
      </x:c>
      <x:c r="J25" s="119" t="n">
        <x:f t="shared" ref="J25:J94" si="10">H25*I25/1000</x:f>
        <x:v>30.9623125</x:v>
      </x:c>
      <x:c r="L25" s="120" t="n">
        <x:f>1</x:f>
        <x:v>1</x:v>
      </x:c>
      <x:c r="M25" s="121" t="n">
        <x:f t="shared" ref="M25:M28" si="11">D6</x:f>
        <x:v>4</x:v>
      </x:c>
      <x:c r="N25" s="122" t="n">
        <x:f t="shared" ref="N25:N28" si="12">B17</x:f>
        <x:v>804.247719318987</x:v>
      </x:c>
      <x:c r="O25" s="123" t="n">
        <x:f t="shared" ref="O25:O28" si="13">D14</x:f>
        <x:v>48</x:v>
      </x:c>
      <x:c r="P25" s="124" t="n">
        <x:f t="shared" ref="P25:P28" si="14">$B$11*($G$3-O25)/$G$3</x:f>
        <x:v>0.0024668874172185428</x:v>
      </x:c>
      <x:c r="Q25" s="121" t="n">
        <x:f t="shared" ref="Q25:Q28" si="15">MAX(-$D$3,MIN($D$3,$D$4*1000*P25))</x:f>
        <x:v>420</x:v>
      </x:c>
      <x:c r="R25" s="122" t="n">
        <x:f t="shared" ref="R25:R28" si="16">Q25*N25/1000</x:f>
        <x:v>337.7840421139746</x:v>
      </x:c>
      <x:c r="S25" s="123" t="n">
        <x:f t="shared" ref="S25:S28" si="17">$G$3-O25</x:f>
        <x:v>114.61538461538461</x:v>
      </x:c>
      <x:c r="T25" s="122" t="n">
        <x:f t="shared" ref="T25:T28" si="18">R25*S25/1000</x:f>
        <x:v>38.71524790383247</x:v>
      </x:c>
    </x:row>
    <x:row r="26">
      <x:c r="A26" s="120">
        <x:f t="shared" si="1"/>
        <x:v>2</x:v>
      </x:c>
      <x:c r="B26" s="120">
        <x:f t="shared" si="2"/>
        <x:v>5</x:v>
      </x:c>
      <x:c r="C26" s="120">
        <x:f t="shared" si="3"/>
        <x:v>7.5</x:v>
      </x:c>
      <x:c r="D26" s="124">
        <x:f t="shared" si="4"/>
        <x:v>3.3385761589403971E-3</x:v>
      </x:c>
      <x:c r="E26" s="120">
        <x:f t="shared" si="5"/>
        <x:v>110.5</x:v>
      </x:c>
      <x:c r="F26" s="120">
        <x:f t="shared" si="6"/>
        <x:v>0</x:v>
      </x:c>
      <x:c r="G26" s="120">
        <x:f t="shared" si="7"/>
        <x:v>110.5</x:v>
      </x:c>
      <x:c r="H26" s="120">
        <x:f t="shared" si="8"/>
        <x:v>193.375</x:v>
      </x:c>
      <x:c r="I26" s="125">
        <x:f t="shared" si="9"/>
        <x:v>155.11538461538461</x:v>
      </x:c>
      <x:c r="J26" s="125">
        <x:f t="shared" si="10"/>
        <x:v>29.995437500000001</x:v>
      </x:c>
      <x:c r="L26" s="120" t="n">
        <x:f>2</x:f>
        <x:v>2</x:v>
      </x:c>
      <x:c r="M26" s="121">
        <x:f t="shared" si="11"/>
        <x:v>2</x:v>
      </x:c>
      <x:c r="N26" s="122">
        <x:f t="shared" si="12"/>
        <x:v>402.12385965949352</x:v>
      </x:c>
      <x:c r="O26" s="123">
        <x:f t="shared" si="13"/>
        <x:v>132.66666666666669</x:v>
      </x:c>
      <x:c r="P26" s="126">
        <x:f t="shared" si="14"/>
        <x:v>6.4459161147902824E-4</x:v>
      </x:c>
      <x:c r="Q26" s="121">
        <x:f t="shared" si="15"/>
        <x:v>135.36423841059593</x:v>
      </x:c>
      <x:c r="R26" s="122">
        <x:f t="shared" si="16"/>
        <x:v>54.433190009536702</x:v>
      </x:c>
      <x:c r="S26" s="123">
        <x:f t="shared" si="17"/>
        <x:v>29.948717948717928</x:v>
      </x:c>
      <x:c r="T26" s="122">
        <x:f t="shared" si="18"/>
        <x:v>1.6302042546445852</x:v>
      </x:c>
    </x:row>
    <x:row r="27">
      <x:c r="A27" s="120">
        <x:f t="shared" si="1"/>
        <x:v>3</x:v>
      </x:c>
      <x:c r="B27" s="120">
        <x:f t="shared" si="2"/>
        <x:v>5</x:v>
      </x:c>
      <x:c r="C27" s="120">
        <x:f t="shared" si="3"/>
        <x:v>12.5</x:v>
      </x:c>
      <x:c r="D27" s="124">
        <x:f t="shared" si="4"/>
        <x:v>3.2309602649006623E-3</x:v>
      </x:c>
      <x:c r="E27" s="120">
        <x:f t="shared" si="5"/>
        <x:v>110.5</x:v>
      </x:c>
      <x:c r="F27" s="120">
        <x:f t="shared" si="6"/>
        <x:v>0</x:v>
      </x:c>
      <x:c r="G27" s="120">
        <x:f t="shared" si="7"/>
        <x:v>110.5</x:v>
      </x:c>
      <x:c r="H27" s="120">
        <x:f t="shared" si="8"/>
        <x:v>193.375</x:v>
      </x:c>
      <x:c r="I27" s="125">
        <x:f t="shared" si="9"/>
        <x:v>150.11538461538461</x:v>
      </x:c>
      <x:c r="J27" s="125">
        <x:f t="shared" si="10"/>
        <x:v>29.0285625</x:v>
      </x:c>
      <x:c r="L27" s="120">
        <x:v>3</x:v>
      </x:c>
      <x:c r="M27" s="121">
        <x:f t="shared" si="11"/>
        <x:v>2</x:v>
      </x:c>
      <x:c r="N27" s="122">
        <x:f t="shared" si="12"/>
        <x:v>402.12385965949352</x:v>
      </x:c>
      <x:c r="O27" s="123">
        <x:f t="shared" si="13"/>
        <x:v>217.33333333333334</x:v>
      </x:c>
      <x:c r="P27" s="126">
        <x:f t="shared" si="14"/>
        <x:v>-1.1777041942604861E-3</x:v>
      </x:c>
      <x:c r="Q27" s="121">
        <x:f t="shared" si="15"/>
        <x:v>-247.31788079470206</x:v>
      </x:c>
      <x:c r="R27" s="122">
        <x:f t="shared" si="16"/>
        <x:v>-99.452420787972116</x:v>
      </x:c>
      <x:c r="S27" s="123">
        <x:f t="shared" si="17"/>
        <x:v>-54.71794871794873</x:v>
      </x:c>
      <x:c r="T27" s="122">
        <x:f t="shared" si="18"/>
        <x:v>5.4418324605521162</x:v>
      </x:c>
    </x:row>
    <x:row r="28">
      <x:c r="A28" s="120">
        <x:f t="shared" si="1"/>
        <x:v>4</x:v>
      </x:c>
      <x:c r="B28" s="120">
        <x:f t="shared" si="2"/>
        <x:v>5</x:v>
      </x:c>
      <x:c r="C28" s="120">
        <x:f t="shared" si="3"/>
        <x:v>17.5</x:v>
      </x:c>
      <x:c r="D28" s="124">
        <x:f t="shared" si="4"/>
        <x:v>3.1233443708609276E-3</x:v>
      </x:c>
      <x:c r="E28" s="120">
        <x:f t="shared" si="5"/>
        <x:v>110.5</x:v>
      </x:c>
      <x:c r="F28" s="120">
        <x:f t="shared" si="6"/>
        <x:v>0</x:v>
      </x:c>
      <x:c r="G28" s="120">
        <x:f t="shared" si="7"/>
        <x:v>110.5</x:v>
      </x:c>
      <x:c r="H28" s="120">
        <x:f t="shared" si="8"/>
        <x:v>193.375</x:v>
      </x:c>
      <x:c r="I28" s="125">
        <x:f t="shared" si="9"/>
        <x:v>145.11538461538461</x:v>
      </x:c>
      <x:c r="J28" s="125">
        <x:f t="shared" si="10"/>
        <x:v>28.061687500000001</x:v>
      </x:c>
      <x:c r="L28" s="103">
        <x:v>4</x:v>
      </x:c>
      <x:c r="M28" s="127">
        <x:f t="shared" si="11"/>
        <x:v>4</x:v>
      </x:c>
      <x:c r="N28" s="128">
        <x:f t="shared" si="12"/>
        <x:v>804.24771931898704</x:v>
      </x:c>
      <x:c r="O28" s="129">
        <x:f t="shared" si="13"/>
        <x:v>302</x:v>
      </x:c>
      <x:c r="P28" s="103">
        <x:f t="shared" si="14"/>
        <x:v>-3.0000000000000001E-3</x:v>
      </x:c>
      <x:c r="Q28" s="127">
        <x:f t="shared" si="15"/>
        <x:v>-420</x:v>
      </x:c>
      <x:c r="R28" s="128">
        <x:f t="shared" si="16"/>
        <x:v>-337.78404211397458</x:v>
      </x:c>
      <x:c r="S28" s="129">
        <x:f t="shared" si="17"/>
        <x:v>-139.38461538461539</x:v>
      </x:c>
      <x:c r="T28" s="128">
        <x:f t="shared" si="18"/>
        <x:v>47.08189879311707</x:v>
      </x:c>
    </x:row>
    <x:row r="29">
      <x:c r="A29" s="120">
        <x:f t="shared" si="1"/>
        <x:v>5</x:v>
      </x:c>
      <x:c r="B29" s="120">
        <x:f t="shared" si="2"/>
        <x:v>5</x:v>
      </x:c>
      <x:c r="C29" s="120">
        <x:f t="shared" si="3"/>
        <x:v>22.5</x:v>
      </x:c>
      <x:c r="D29" s="124">
        <x:f t="shared" si="4"/>
        <x:v>3.015728476821192E-3</x:v>
      </x:c>
      <x:c r="E29" s="120">
        <x:f t="shared" si="5"/>
        <x:v>110.5</x:v>
      </x:c>
      <x:c r="F29" s="120">
        <x:f t="shared" si="6"/>
        <x:v>0</x:v>
      </x:c>
      <x:c r="G29" s="120">
        <x:f t="shared" si="7"/>
        <x:v>110.5</x:v>
      </x:c>
      <x:c r="H29" s="120">
        <x:f t="shared" si="8"/>
        <x:v>193.375</x:v>
      </x:c>
      <x:c r="I29" s="125">
        <x:f t="shared" si="9"/>
        <x:v>140.11538461538461</x:v>
      </x:c>
      <x:c r="J29" s="125">
        <x:f t="shared" si="10"/>
        <x:v>27.0948125</x:v>
      </x:c>
      <x:c r="R29" s="130"/>
    </x:row>
    <x:row r="30">
      <x:c r="A30" s="120">
        <x:f t="shared" si="1"/>
        <x:v>6</x:v>
      </x:c>
      <x:c r="B30" s="120">
        <x:f t="shared" si="2"/>
        <x:v>5</x:v>
      </x:c>
      <x:c r="C30" s="120">
        <x:f t="shared" si="3"/>
        <x:v>27.5</x:v>
      </x:c>
      <x:c r="D30" s="124">
        <x:f t="shared" si="4"/>
        <x:v>2.9081125827814572E-3</x:v>
      </x:c>
      <x:c r="E30" s="120">
        <x:f t="shared" si="5"/>
        <x:v>110.5</x:v>
      </x:c>
      <x:c r="F30" s="120">
        <x:f t="shared" si="6"/>
        <x:v>0</x:v>
      </x:c>
      <x:c r="G30" s="120">
        <x:f t="shared" si="7"/>
        <x:v>110.5</x:v>
      </x:c>
      <x:c r="H30" s="120">
        <x:f t="shared" si="8"/>
        <x:v>193.375</x:v>
      </x:c>
      <x:c r="I30" s="125">
        <x:f t="shared" si="9"/>
        <x:v>135.11538461538461</x:v>
      </x:c>
      <x:c r="J30" s="125">
        <x:f t="shared" si="10"/>
        <x:v>26.127937500000002</x:v>
      </x:c>
    </x:row>
    <x:row r="31">
      <x:c r="A31" s="120">
        <x:f t="shared" si="1"/>
        <x:v>7</x:v>
      </x:c>
      <x:c r="B31" s="120">
        <x:f t="shared" si="2"/>
        <x:v>5</x:v>
      </x:c>
      <x:c r="C31" s="120">
        <x:f t="shared" si="3"/>
        <x:v>32.5</x:v>
      </x:c>
      <x:c r="D31" s="124">
        <x:f t="shared" si="4"/>
        <x:v>2.800496688741722E-3</x:v>
      </x:c>
      <x:c r="E31" s="120">
        <x:f t="shared" si="5"/>
        <x:v>110.5</x:v>
      </x:c>
      <x:c r="F31" s="120">
        <x:f t="shared" si="6"/>
        <x:v>0</x:v>
      </x:c>
      <x:c r="G31" s="120">
        <x:f t="shared" si="7"/>
        <x:v>110.5</x:v>
      </x:c>
      <x:c r="H31" s="120">
        <x:f t="shared" si="8"/>
        <x:v>193.375</x:v>
      </x:c>
      <x:c r="I31" s="125">
        <x:f t="shared" si="9"/>
        <x:v>130.11538461538461</x:v>
      </x:c>
      <x:c r="J31" s="125">
        <x:f t="shared" si="10"/>
        <x:v>25.1610625</x:v>
      </x:c>
    </x:row>
    <x:row r="32">
      <x:c r="A32" s="120">
        <x:f t="shared" si="1"/>
        <x:v>8</x:v>
      </x:c>
      <x:c r="B32" s="120">
        <x:f t="shared" si="2"/>
        <x:v>5</x:v>
      </x:c>
      <x:c r="C32" s="120">
        <x:f t="shared" si="3"/>
        <x:v>37.5</x:v>
      </x:c>
      <x:c r="D32" s="124">
        <x:f t="shared" si="4"/>
        <x:v>2.6928807947019869E-3</x:v>
      </x:c>
      <x:c r="E32" s="120">
        <x:f t="shared" si="5"/>
        <x:v>110.5</x:v>
      </x:c>
      <x:c r="F32" s="120">
        <x:f t="shared" si="6"/>
        <x:v>0</x:v>
      </x:c>
      <x:c r="G32" s="120">
        <x:f t="shared" si="7"/>
        <x:v>110.5</x:v>
      </x:c>
      <x:c r="H32" s="120">
        <x:f t="shared" si="8"/>
        <x:v>193.375</x:v>
      </x:c>
      <x:c r="I32" s="125">
        <x:f t="shared" si="9"/>
        <x:v>125.11538461538461</x:v>
      </x:c>
      <x:c r="J32" s="125">
        <x:f t="shared" si="10"/>
        <x:v>24.194187500000002</x:v>
      </x:c>
    </x:row>
    <x:row r="33">
      <x:c r="A33" s="120">
        <x:f t="shared" si="1"/>
        <x:v>9</x:v>
      </x:c>
      <x:c r="B33" s="120">
        <x:f t="shared" si="2"/>
        <x:v>5</x:v>
      </x:c>
      <x:c r="C33" s="120">
        <x:f t="shared" si="3"/>
        <x:v>42.5</x:v>
      </x:c>
      <x:c r="D33" s="124">
        <x:f t="shared" si="4"/>
        <x:v>2.5852649006622517E-3</x:v>
      </x:c>
      <x:c r="E33" s="120">
        <x:f t="shared" si="5"/>
        <x:v>110.5</x:v>
      </x:c>
      <x:c r="F33" s="120">
        <x:f t="shared" si="6"/>
        <x:v>0</x:v>
      </x:c>
      <x:c r="G33" s="120">
        <x:f t="shared" si="7"/>
        <x:v>110.5</x:v>
      </x:c>
      <x:c r="H33" s="120">
        <x:f t="shared" si="8"/>
        <x:v>193.375</x:v>
      </x:c>
      <x:c r="I33" s="125">
        <x:f t="shared" si="9"/>
        <x:v>120.11538461538461</x:v>
      </x:c>
      <x:c r="J33" s="125">
        <x:f t="shared" si="10"/>
        <x:v>23.2273125</x:v>
      </x:c>
    </x:row>
    <x:row r="34">
      <x:c r="A34" s="120">
        <x:f t="shared" si="1"/>
        <x:v>10</x:v>
      </x:c>
      <x:c r="B34" s="120">
        <x:f t="shared" si="2"/>
        <x:v>5</x:v>
      </x:c>
      <x:c r="C34" s="120">
        <x:f t="shared" si="3"/>
        <x:v>47.5</x:v>
      </x:c>
      <x:c r="D34" s="124">
        <x:f t="shared" si="4"/>
        <x:v>2.4776490066225165E-3</x:v>
      </x:c>
      <x:c r="E34" s="120">
        <x:f t="shared" si="5"/>
        <x:v>110.5</x:v>
      </x:c>
      <x:c r="F34" s="120">
        <x:f t="shared" si="6"/>
        <x:v>0</x:v>
      </x:c>
      <x:c r="G34" s="120">
        <x:f t="shared" si="7"/>
        <x:v>110.5</x:v>
      </x:c>
      <x:c r="H34" s="120">
        <x:f t="shared" si="8"/>
        <x:v>193.375</x:v>
      </x:c>
      <x:c r="I34" s="125">
        <x:f t="shared" si="9"/>
        <x:v>115.11538461538461</x:v>
      </x:c>
      <x:c r="J34" s="125">
        <x:f t="shared" si="10"/>
        <x:v>22.260437499999998</x:v>
      </x:c>
      <x:c r="M34" s="131"/>
      <x:c r="N34" s="130"/>
      <x:c r="O34" s="132"/>
      <x:c r="Q34" s="131"/>
      <x:c r="S34" s="132"/>
    </x:row>
    <x:row r="35">
      <x:c r="A35" s="120">
        <x:f t="shared" si="1"/>
        <x:v>11</x:v>
      </x:c>
      <x:c r="B35" s="120">
        <x:f t="shared" si="2"/>
        <x:v>5</x:v>
      </x:c>
      <x:c r="C35" s="120">
        <x:f t="shared" si="3"/>
        <x:v>52.5</x:v>
      </x:c>
      <x:c r="D35" s="124">
        <x:f t="shared" si="4"/>
        <x:v>2.3700331125827813E-3</x:v>
      </x:c>
      <x:c r="E35" s="123">
        <x:f t="shared" si="5"/>
        <x:v>107.67438328718985</x:v>
      </x:c>
      <x:c r="F35" s="120">
        <x:f t="shared" si="6"/>
        <x:v>0</x:v>
      </x:c>
      <x:c r="G35" s="123">
        <x:f t="shared" si="7"/>
        <x:v>107.67438328718985</x:v>
      </x:c>
      <x:c r="H35" s="122">
        <x:f t="shared" si="8"/>
        <x:v>188.43017075258223</x:v>
      </x:c>
      <x:c r="I35" s="125">
        <x:f t="shared" si="9"/>
        <x:v>110.11538461538461</x:v>
      </x:c>
      <x:c r="J35" s="125">
        <x:f t="shared" si="10"/>
        <x:v>20.749060725563186</x:v>
      </x:c>
    </x:row>
    <x:row r="36">
      <x:c r="A36" s="120">
        <x:f t="shared" si="1"/>
        <x:v>12</x:v>
      </x:c>
      <x:c r="B36" s="120">
        <x:f t="shared" si="2"/>
        <x:v>5</x:v>
      </x:c>
      <x:c r="C36" s="120">
        <x:f t="shared" si="3"/>
        <x:v>57.5</x:v>
      </x:c>
      <x:c r="D36" s="124">
        <x:f t="shared" si="4"/>
        <x:v>2.2624172185430461E-3</x:v>
      </x:c>
      <x:c r="E36" s="123">
        <x:f t="shared" si="5"/>
        <x:v>102.78522162902196</x:v>
      </x:c>
      <x:c r="F36" s="120">
        <x:f t="shared" si="6"/>
        <x:v>0</x:v>
      </x:c>
      <x:c r="G36" s="123">
        <x:f t="shared" si="7"/>
        <x:v>102.78522162902196</x:v>
      </x:c>
      <x:c r="H36" s="122">
        <x:f t="shared" si="8"/>
        <x:v>179.87413785078843</x:v>
      </x:c>
      <x:c r="I36" s="125">
        <x:f t="shared" si="9"/>
        <x:v>105.11538461538461</x:v>
      </x:c>
      <x:c r="J36" s="125">
        <x:f t="shared" si="10"/>
        <x:v>18.907539182546337</x:v>
      </x:c>
    </x:row>
    <x:row r="37">
      <x:c r="A37" s="120">
        <x:f t="shared" si="1"/>
        <x:v>13</x:v>
      </x:c>
      <x:c r="B37" s="120">
        <x:f t="shared" si="2"/>
        <x:v>5</x:v>
      </x:c>
      <x:c r="C37" s="120">
        <x:f t="shared" si="3"/>
        <x:v>62.5</x:v>
      </x:c>
      <x:c r="D37" s="124">
        <x:f t="shared" si="4"/>
        <x:v>2.1548013245033114E-3</x:v>
      </x:c>
      <x:c r="E37" s="123">
        <x:f t="shared" si="5"/>
        <x:v>97.896059970854083</x:v>
      </x:c>
      <x:c r="F37" s="120">
        <x:f t="shared" si="6"/>
        <x:v>0</x:v>
      </x:c>
      <x:c r="G37" s="123">
        <x:f t="shared" si="7"/>
        <x:v>97.896059970854083</x:v>
      </x:c>
      <x:c r="H37" s="122">
        <x:f t="shared" si="8"/>
        <x:v>171.31810494899466</x:v>
      </x:c>
      <x:c r="I37" s="125">
        <x:f t="shared" si="9"/>
        <x:v>100.11538461538461</x:v>
      </x:c>
      <x:c r="J37" s="125">
        <x:f t="shared" si="10"/>
        <x:v>17.151577968547425</x:v>
      </x:c>
    </x:row>
    <x:row r="38">
      <x:c r="A38" s="120">
        <x:f t="shared" si="1"/>
        <x:v>14</x:v>
      </x:c>
      <x:c r="B38" s="120">
        <x:f t="shared" si="2"/>
        <x:v>5</x:v>
      </x:c>
      <x:c r="C38" s="120">
        <x:f t="shared" si="3"/>
        <x:v>67.5</x:v>
      </x:c>
      <x:c r="D38" s="124">
        <x:f t="shared" si="4"/>
        <x:v>2.0471854304635762E-3</x:v>
      </x:c>
      <x:c r="E38" s="123">
        <x:f t="shared" si="5"/>
        <x:v>93.006898312686189</x:v>
      </x:c>
      <x:c r="F38" s="120">
        <x:f t="shared" si="6"/>
        <x:v>0</x:v>
      </x:c>
      <x:c r="G38" s="123">
        <x:f t="shared" si="7"/>
        <x:v>93.006898312686189</x:v>
      </x:c>
      <x:c r="H38" s="122">
        <x:f t="shared" si="8"/>
        <x:v>162.76207204720083</x:v>
      </x:c>
      <x:c r="I38" s="125">
        <x:f t="shared" si="9"/>
        <x:v>95.115384615384613</x:v>
      </x:c>
      <x:c r="J38" s="125">
        <x:f t="shared" si="10"/>
        <x:v>15.481177083566449</x:v>
      </x:c>
    </x:row>
    <x:row r="39">
      <x:c r="A39" s="120">
        <x:f t="shared" si="1"/>
        <x:v>15</x:v>
      </x:c>
      <x:c r="B39" s="120">
        <x:f t="shared" si="2"/>
        <x:v>5</x:v>
      </x:c>
      <x:c r="C39" s="120">
        <x:f t="shared" si="3"/>
        <x:v>72.5</x:v>
      </x:c>
      <x:c r="D39" s="124">
        <x:f t="shared" si="4"/>
        <x:v>1.939569536423841E-3</x:v>
      </x:c>
      <x:c r="E39" s="123">
        <x:f t="shared" si="5"/>
        <x:v>88.117736654518282</x:v>
      </x:c>
      <x:c r="F39" s="120">
        <x:f t="shared" si="6"/>
        <x:v>0</x:v>
      </x:c>
      <x:c r="G39" s="123">
        <x:f t="shared" si="7"/>
        <x:v>88.117736654518282</x:v>
      </x:c>
      <x:c r="H39" s="122">
        <x:f t="shared" si="8"/>
        <x:v>154.206039145407</x:v>
      </x:c>
      <x:c r="I39" s="125">
        <x:f t="shared" si="9"/>
        <x:v>90.115384615384613</x:v>
      </x:c>
      <x:c r="J39" s="125">
        <x:f t="shared" si="10"/>
        <x:v>13.896336527603408</x:v>
      </x:c>
    </x:row>
    <x:row r="40">
      <x:c r="A40" s="120">
        <x:f t="shared" si="1"/>
        <x:v>16</x:v>
      </x:c>
      <x:c r="B40" s="120">
        <x:f t="shared" si="2"/>
        <x:v>5</x:v>
      </x:c>
      <x:c r="C40" s="120">
        <x:f t="shared" si="3"/>
        <x:v>77.5</x:v>
      </x:c>
      <x:c r="D40" s="124">
        <x:f t="shared" si="4"/>
        <x:v>1.8319536423841059E-3</x:v>
      </x:c>
      <x:c r="E40" s="123">
        <x:f t="shared" si="5"/>
        <x:v>83.228574996350389</x:v>
      </x:c>
      <x:c r="F40" s="120">
        <x:f t="shared" si="6"/>
        <x:v>0</x:v>
      </x:c>
      <x:c r="G40" s="123">
        <x:f t="shared" si="7"/>
        <x:v>83.228574996350389</x:v>
      </x:c>
      <x:c r="H40" s="122">
        <x:f t="shared" si="8"/>
        <x:v>145.65000624361321</x:v>
      </x:c>
      <x:c r="I40" s="125">
        <x:f t="shared" si="9"/>
        <x:v>85.115384615384613</x:v>
      </x:c>
      <x:c r="J40" s="125">
        <x:f t="shared" si="10"/>
        <x:v>12.397056300658308</x:v>
      </x:c>
    </x:row>
    <x:row r="41">
      <x:c r="A41" s="120">
        <x:f t="shared" si="1"/>
        <x:v>17</x:v>
      </x:c>
      <x:c r="B41" s="120">
        <x:f t="shared" si="2"/>
        <x:v>5</x:v>
      </x:c>
      <x:c r="C41" s="120">
        <x:f t="shared" si="3"/>
        <x:v>82.5</x:v>
      </x:c>
      <x:c r="D41" s="124">
        <x:f t="shared" si="4"/>
        <x:v>1.7243377483443709E-3</x:v>
      </x:c>
      <x:c r="E41" s="123">
        <x:f t="shared" si="5"/>
        <x:v>78.339413338182496</x:v>
      </x:c>
      <x:c r="F41" s="120">
        <x:f t="shared" si="6"/>
        <x:v>0</x:v>
      </x:c>
      <x:c r="G41" s="123">
        <x:f t="shared" si="7"/>
        <x:v>78.339413338182496</x:v>
      </x:c>
      <x:c r="H41" s="122">
        <x:f t="shared" si="8"/>
        <x:v>137.09397334181938</x:v>
      </x:c>
      <x:c r="I41" s="125">
        <x:f t="shared" si="9"/>
        <x:v>80.115384615384613</x:v>
      </x:c>
      <x:c r="J41" s="125">
        <x:f t="shared" si="10"/>
        <x:v>10.983336402731144</x:v>
      </x:c>
    </x:row>
    <x:row r="42">
      <x:c r="A42" s="120">
        <x:f t="shared" si="1"/>
        <x:v>18</x:v>
      </x:c>
      <x:c r="B42" s="120">
        <x:f t="shared" si="2"/>
        <x:v>5</x:v>
      </x:c>
      <x:c r="C42" s="120">
        <x:f t="shared" si="3"/>
        <x:v>87.5</x:v>
      </x:c>
      <x:c r="D42" s="124">
        <x:f t="shared" si="4"/>
        <x:v>1.6167218543046357E-3</x:v>
      </x:c>
      <x:c r="E42" s="123">
        <x:f t="shared" si="5"/>
        <x:v>73.450251680014603</x:v>
      </x:c>
      <x:c r="F42" s="120">
        <x:f t="shared" si="6"/>
        <x:v>0</x:v>
      </x:c>
      <x:c r="G42" s="123">
        <x:f t="shared" si="7"/>
        <x:v>73.450251680014603</x:v>
      </x:c>
      <x:c r="H42" s="122">
        <x:f t="shared" si="8"/>
        <x:v>128.53794044002555</x:v>
      </x:c>
      <x:c r="I42" s="125">
        <x:f t="shared" si="9"/>
        <x:v>75.115384615384613</x:v>
      </x:c>
      <x:c r="J42" s="125">
        <x:f t="shared" si="10"/>
        <x:v>9.655176833821919</x:v>
      </x:c>
    </x:row>
    <x:row r="43">
      <x:c r="A43" s="120">
        <x:f t="shared" si="1"/>
        <x:v>19</x:v>
      </x:c>
      <x:c r="B43" s="120">
        <x:f t="shared" si="2"/>
        <x:v>5</x:v>
      </x:c>
      <x:c r="C43" s="120">
        <x:f t="shared" si="3"/>
        <x:v>92.5</x:v>
      </x:c>
      <x:c r="D43" s="124">
        <x:f t="shared" si="4"/>
        <x:v>1.5091059602649005E-3</x:v>
      </x:c>
      <x:c r="E43" s="123">
        <x:f t="shared" si="5"/>
        <x:v>68.561090021846709</x:v>
      </x:c>
      <x:c r="F43" s="120">
        <x:f t="shared" si="6"/>
        <x:v>0</x:v>
      </x:c>
      <x:c r="G43" s="123">
        <x:f t="shared" si="7"/>
        <x:v>68.561090021846709</x:v>
      </x:c>
      <x:c r="H43" s="122">
        <x:f t="shared" si="8"/>
        <x:v>119.98190753823174</x:v>
      </x:c>
      <x:c r="I43" s="125">
        <x:f t="shared" si="9"/>
        <x:v>70.115384615384613</x:v>
      </x:c>
      <x:c r="J43" s="125">
        <x:f t="shared" si="10"/>
        <x:v>8.4125775939306333</x:v>
      </x:c>
    </x:row>
    <x:row r="44">
      <x:c r="A44" s="120">
        <x:f t="shared" si="1"/>
        <x:v>20</x:v>
      </x:c>
      <x:c r="B44" s="120">
        <x:f t="shared" si="2"/>
        <x:v>5</x:v>
      </x:c>
      <x:c r="C44" s="120">
        <x:f t="shared" si="3"/>
        <x:v>97.5</x:v>
      </x:c>
      <x:c r="D44" s="124">
        <x:f t="shared" si="4"/>
        <x:v>1.4014900662251656E-3</x:v>
      </x:c>
      <x:c r="E44" s="123">
        <x:f t="shared" si="5"/>
        <x:v>63.671928363678816</x:v>
      </x:c>
      <x:c r="F44" s="120">
        <x:f t="shared" si="6"/>
        <x:v>0</x:v>
      </x:c>
      <x:c r="G44" s="123">
        <x:f t="shared" si="7"/>
        <x:v>63.671928363678816</x:v>
      </x:c>
      <x:c r="H44" s="122">
        <x:f t="shared" si="8"/>
        <x:v>111.42587463643794</x:v>
      </x:c>
      <x:c r="I44" s="125">
        <x:f t="shared" si="9"/>
        <x:v>65.115384615384613</x:v>
      </x:c>
      <x:c r="J44" s="125">
        <x:f t="shared" si="10"/>
        <x:v>7.255538683057285</x:v>
      </x:c>
    </x:row>
    <x:row r="45">
      <x:c r="A45" s="120">
        <x:f t="shared" si="1"/>
        <x:v>21</x:v>
      </x:c>
      <x:c r="B45" s="120">
        <x:f t="shared" si="2"/>
        <x:v>5</x:v>
      </x:c>
      <x:c r="C45" s="120">
        <x:f t="shared" si="3"/>
        <x:v>102.5</x:v>
      </x:c>
      <x:c r="D45" s="124">
        <x:f t="shared" si="4"/>
        <x:v>1.2938741721854306E-3</x:v>
      </x:c>
      <x:c r="E45" s="123">
        <x:f t="shared" si="5"/>
        <x:v>58.782766705510923</x:v>
      </x:c>
      <x:c r="F45" s="120">
        <x:f t="shared" si="6"/>
        <x:v>0</x:v>
      </x:c>
      <x:c r="G45" s="123">
        <x:f t="shared" si="7"/>
        <x:v>58.782766705510923</x:v>
      </x:c>
      <x:c r="H45" s="122">
        <x:f t="shared" si="8"/>
        <x:v>102.86984173464413</x:v>
      </x:c>
      <x:c r="I45" s="125">
        <x:f t="shared" si="9"/>
        <x:v>60.115384615384613</x:v>
      </x:c>
      <x:c r="J45" s="125">
        <x:f t="shared" si="10"/>
        <x:v>6.184060101201875</x:v>
      </x:c>
    </x:row>
    <x:row r="46">
      <x:c r="A46" s="120">
        <x:f t="shared" si="1"/>
        <x:v>22</x:v>
      </x:c>
      <x:c r="B46" s="120">
        <x:f t="shared" si="2"/>
        <x:v>5</x:v>
      </x:c>
      <x:c r="C46" s="120">
        <x:f t="shared" si="3"/>
        <x:v>107.5</x:v>
      </x:c>
      <x:c r="D46" s="124">
        <x:f t="shared" si="4"/>
        <x:v>1.1862582781456954E-3</x:v>
      </x:c>
      <x:c r="E46" s="123">
        <x:f t="shared" si="5"/>
        <x:v>53.89360504734303</x:v>
      </x:c>
      <x:c r="F46" s="120">
        <x:f t="shared" si="6"/>
        <x:v>0</x:v>
      </x:c>
      <x:c r="G46" s="123">
        <x:f t="shared" si="7"/>
        <x:v>53.89360504734303</x:v>
      </x:c>
      <x:c r="H46" s="122">
        <x:f t="shared" si="8"/>
        <x:v>94.313808832850313</x:v>
      </x:c>
      <x:c r="I46" s="125">
        <x:f t="shared" si="9"/>
        <x:v>55.115384615384613</x:v>
      </x:c>
      <x:c r="J46" s="125">
        <x:f t="shared" si="10"/>
        <x:v>5.1981418483644042</x:v>
      </x:c>
    </x:row>
    <x:row r="47">
      <x:c r="A47" s="120">
        <x:f t="shared" si="1"/>
        <x:v>23</x:v>
      </x:c>
      <x:c r="B47" s="120">
        <x:f t="shared" si="2"/>
        <x:v>5</x:v>
      </x:c>
      <x:c r="C47" s="120">
        <x:f t="shared" si="3"/>
        <x:v>112.5</x:v>
      </x:c>
      <x:c r="D47" s="124">
        <x:f t="shared" si="4"/>
        <x:v>1.0786423841059602E-3</x:v>
      </x:c>
      <x:c r="E47" s="123">
        <x:f t="shared" si="5"/>
        <x:v>49.00444338917513</x:v>
      </x:c>
      <x:c r="F47" s="120">
        <x:f t="shared" si="6"/>
        <x:v>0</x:v>
      </x:c>
      <x:c r="G47" s="123">
        <x:f t="shared" si="7"/>
        <x:v>49.00444338917513</x:v>
      </x:c>
      <x:c r="H47" s="122">
        <x:f t="shared" si="8"/>
        <x:v>85.757775931056472</x:v>
      </x:c>
      <x:c r="I47" s="125">
        <x:f t="shared" si="9"/>
        <x:v>50.115384615384613</x:v>
      </x:c>
      <x:c r="J47" s="125">
        <x:f t="shared" si="10"/>
        <x:v>4.2977839245448681</x:v>
      </x:c>
    </x:row>
    <x:row r="48">
      <x:c r="A48" s="120">
        <x:f t="shared" si="1"/>
        <x:v>24</x:v>
      </x:c>
      <x:c r="B48" s="120">
        <x:f t="shared" si="2"/>
        <x:v>5</x:v>
      </x:c>
      <x:c r="C48" s="120">
        <x:f t="shared" si="3"/>
        <x:v>117.5</x:v>
      </x:c>
      <x:c r="D48" s="124">
        <x:f t="shared" si="4"/>
        <x:v>9.7102649006622517E-4</x:v>
      </x:c>
      <x:c r="E48" s="123">
        <x:f t="shared" si="5"/>
        <x:v>44.115281731007236</x:v>
      </x:c>
      <x:c r="F48" s="120">
        <x:f t="shared" si="6"/>
        <x:v>0</x:v>
      </x:c>
      <x:c r="G48" s="123">
        <x:f t="shared" si="7"/>
        <x:v>44.115281731007236</x:v>
      </x:c>
      <x:c r="H48" s="122">
        <x:f t="shared" si="8"/>
        <x:v>77.201743029262673</x:v>
      </x:c>
      <x:c r="I48" s="125">
        <x:f t="shared" si="9"/>
        <x:v>45.115384615384613</x:v>
      </x:c>
      <x:c r="J48" s="125">
        <x:f t="shared" si="10"/>
        <x:v>3.4829863297432735</x:v>
      </x:c>
    </x:row>
    <x:row r="49">
      <x:c r="A49" s="120">
        <x:f t="shared" si="1"/>
        <x:v>25</x:v>
      </x:c>
      <x:c r="B49" s="120">
        <x:f t="shared" si="2"/>
        <x:v>5</x:v>
      </x:c>
      <x:c r="C49" s="120">
        <x:f t="shared" si="3"/>
        <x:v>122.5</x:v>
      </x:c>
      <x:c r="D49" s="124">
        <x:f t="shared" si="4"/>
        <x:v>8.634105960264901E-4</x:v>
      </x:c>
      <x:c r="E49" s="123">
        <x:f t="shared" si="5"/>
        <x:v>39.226120072839343</x:v>
      </x:c>
      <x:c r="F49" s="120">
        <x:f t="shared" si="6"/>
        <x:v>0</x:v>
      </x:c>
      <x:c r="G49" s="123">
        <x:f t="shared" si="7"/>
        <x:v>39.226120072839343</x:v>
      </x:c>
      <x:c r="H49" s="122">
        <x:f t="shared" si="8"/>
        <x:v>68.645710127468845</x:v>
      </x:c>
      <x:c r="I49" s="125">
        <x:f t="shared" si="9"/>
        <x:v>40.115384615384613</x:v>
      </x:c>
      <x:c r="J49" s="125">
        <x:f t="shared" si="10"/>
        <x:v>2.7537490639596154</x:v>
      </x:c>
    </x:row>
    <x:row r="50">
      <x:c r="A50" s="120">
        <x:f t="shared" si="1"/>
        <x:v>26</x:v>
      </x:c>
      <x:c r="B50" s="120">
        <x:f t="shared" si="2"/>
        <x:v>5</x:v>
      </x:c>
      <x:c r="C50" s="120">
        <x:f t="shared" si="3"/>
        <x:v>127.5</x:v>
      </x:c>
      <x:c r="D50" s="124">
        <x:f t="shared" si="4"/>
        <x:v>7.5579470198675503E-4</x:v>
      </x:c>
      <x:c r="E50" s="123">
        <x:f t="shared" si="5"/>
        <x:v>34.33695841467145</x:v>
      </x:c>
      <x:c r="F50" s="120">
        <x:f t="shared" si="6"/>
        <x:v>0</x:v>
      </x:c>
      <x:c r="G50" s="123">
        <x:f t="shared" si="7"/>
        <x:v>34.33695841467145</x:v>
      </x:c>
      <x:c r="H50" s="122">
        <x:f t="shared" si="8"/>
        <x:v>60.08967722567504</x:v>
      </x:c>
      <x:c r="I50" s="125">
        <x:f t="shared" si="9"/>
        <x:v>35.115384615384613</x:v>
      </x:c>
      <x:c r="J50" s="125">
        <x:f t="shared" si="10"/>
        <x:v>2.1100721271938965</x:v>
      </x:c>
    </x:row>
    <x:row r="51">
      <x:c r="A51" s="120">
        <x:f t="shared" si="1"/>
        <x:v>27</x:v>
      </x:c>
      <x:c r="B51" s="120">
        <x:f t="shared" si="2"/>
        <x:v>5</x:v>
      </x:c>
      <x:c r="C51" s="120">
        <x:f t="shared" si="3"/>
        <x:v>132.5</x:v>
      </x:c>
      <x:c r="D51" s="124">
        <x:f t="shared" si="4"/>
        <x:v>6.4817880794701985E-4</x:v>
      </x:c>
      <x:c r="E51" s="123">
        <x:f t="shared" si="5"/>
        <x:v>29.44779675650355</x:v>
      </x:c>
      <x:c r="F51" s="120">
        <x:f t="shared" si="6"/>
        <x:v>0</x:v>
      </x:c>
      <x:c r="G51" s="123">
        <x:f t="shared" si="7"/>
        <x:v>29.44779675650355</x:v>
      </x:c>
      <x:c r="H51" s="122">
        <x:f t="shared" si="8"/>
        <x:v>51.533644323881205</x:v>
      </x:c>
      <x:c r="I51" s="125">
        <x:f t="shared" si="9"/>
        <x:v>30.115384615384613</x:v>
      </x:c>
      <x:c r="J51" s="125">
        <x:f t="shared" si="10"/>
        <x:v>1.5519555194461148</x:v>
      </x:c>
    </x:row>
    <x:row r="52">
      <x:c r="A52" s="120">
        <x:f t="shared" si="1"/>
        <x:v>28</x:v>
      </x:c>
      <x:c r="B52" s="120">
        <x:f t="shared" si="2"/>
        <x:v>5</x:v>
      </x:c>
      <x:c r="C52" s="120">
        <x:f t="shared" si="3"/>
        <x:v>137.5</x:v>
      </x:c>
      <x:c r="D52" s="124">
        <x:f t="shared" si="4"/>
        <x:v>5.4056291390728478E-4</x:v>
      </x:c>
      <x:c r="E52" s="123">
        <x:f t="shared" si="5"/>
        <x:v>24.558635098335657</x:v>
      </x:c>
      <x:c r="F52" s="120">
        <x:f t="shared" si="6"/>
        <x:v>0</x:v>
      </x:c>
      <x:c r="G52" s="123">
        <x:f t="shared" si="7"/>
        <x:v>24.558635098335657</x:v>
      </x:c>
      <x:c r="H52" s="122">
        <x:f t="shared" si="8"/>
        <x:v>42.977611422087399</x:v>
      </x:c>
      <x:c r="I52" s="125">
        <x:f t="shared" si="9"/>
        <x:v>25.115384615384613</x:v>
      </x:c>
      <x:c r="J52" s="125">
        <x:f t="shared" si="10"/>
        <x:v>1.0793992407162718</x:v>
      </x:c>
    </x:row>
    <x:row r="53">
      <x:c r="A53" s="120">
        <x:f t="shared" si="1"/>
        <x:v>29</x:v>
      </x:c>
      <x:c r="B53" s="120">
        <x:f t="shared" si="2"/>
        <x:v>5</x:v>
      </x:c>
      <x:c r="C53" s="120">
        <x:f t="shared" si="3"/>
        <x:v>142.5</x:v>
      </x:c>
      <x:c r="D53" s="124">
        <x:f t="shared" si="4"/>
        <x:v>4.3294701986754965E-4</x:v>
      </x:c>
      <x:c r="E53" s="123">
        <x:f t="shared" si="5"/>
        <x:v>19.66947344016776</x:v>
      </x:c>
      <x:c r="F53" s="120">
        <x:f t="shared" si="6"/>
        <x:v>0</x:v>
      </x:c>
      <x:c r="G53" s="123">
        <x:f t="shared" si="7"/>
        <x:v>19.66947344016776</x:v>
      </x:c>
      <x:c r="H53" s="122">
        <x:f t="shared" si="8"/>
        <x:v>34.421578520293579</x:v>
      </x:c>
      <x:c r="I53" s="125">
        <x:f t="shared" si="9"/>
        <x:v>20.115384615384613</x:v>
      </x:c>
      <x:c r="J53" s="125">
        <x:f t="shared" si="10"/>
        <x:v>0.69240329100436693</x:v>
      </x:c>
    </x:row>
    <x:row r="54">
      <x:c r="A54" s="120">
        <x:f t="shared" si="1"/>
        <x:v>30</x:v>
      </x:c>
      <x:c r="B54" s="120">
        <x:f t="shared" si="2"/>
        <x:v>5</x:v>
      </x:c>
      <x:c r="C54" s="120">
        <x:f t="shared" si="3"/>
        <x:v>147.5</x:v>
      </x:c>
      <x:c r="D54" s="124">
        <x:f t="shared" si="4"/>
        <x:v>3.2533112582781452E-4</x:v>
      </x:c>
      <x:c r="E54" s="123">
        <x:f t="shared" si="5"/>
        <x:v>14.780311781999865</x:v>
      </x:c>
      <x:c r="F54" s="120">
        <x:f t="shared" si="6"/>
        <x:v>0</x:v>
      </x:c>
      <x:c r="G54" s="123">
        <x:f t="shared" si="7"/>
        <x:v>14.780311781999865</x:v>
      </x:c>
      <x:c r="H54" s="122">
        <x:f t="shared" si="8"/>
        <x:v>25.865545618499763</x:v>
      </x:c>
      <x:c r="I54" s="125">
        <x:f t="shared" si="9"/>
        <x:v>15.115384615384613</x:v>
      </x:c>
      <x:c r="J54" s="125">
        <x:f t="shared" si="10"/>
        <x:v>0.39096767031040019</x:v>
      </x:c>
    </x:row>
    <x:row r="55">
      <x:c r="A55" s="120">
        <x:f t="shared" si="1"/>
        <x:v>31</x:v>
      </x:c>
      <x:c r="B55" s="120">
        <x:f t="shared" si="2"/>
        <x:v>5</x:v>
      </x:c>
      <x:c r="C55" s="120">
        <x:f t="shared" si="3"/>
        <x:v>152.5</x:v>
      </x:c>
      <x:c r="D55" s="124">
        <x:f t="shared" si="4"/>
        <x:v>2.1771523178807942E-4</x:v>
      </x:c>
      <x:c r="E55" s="123">
        <x:f t="shared" si="5"/>
        <x:v>9.8911501238319701</x:v>
      </x:c>
      <x:c r="F55" s="120">
        <x:f t="shared" si="6"/>
        <x:v>0</x:v>
      </x:c>
      <x:c r="G55" s="123">
        <x:f t="shared" si="7"/>
        <x:v>9.8911501238319701</x:v>
      </x:c>
      <x:c r="H55" s="122">
        <x:f t="shared" si="8"/>
        <x:v>17.309512716705946</x:v>
      </x:c>
      <x:c r="I55" s="125">
        <x:f t="shared" si="9"/>
        <x:v>10.115384615384613</x:v>
      </x:c>
      <x:c r="J55" s="125">
        <x:f t="shared" si="10"/>
        <x:v>0.17509237863437163</x:v>
      </x:c>
    </x:row>
    <x:row r="56">
      <x:c r="A56" s="120">
        <x:f t="shared" si="1"/>
        <x:v>32</x:v>
      </x:c>
      <x:c r="B56" s="120">
        <x:f t="shared" si="2"/>
        <x:v>5</x:v>
      </x:c>
      <x:c r="C56" s="120">
        <x:f t="shared" si="3"/>
        <x:v>157.5</x:v>
      </x:c>
      <x:c r="D56" s="124">
        <x:f t="shared" si="4"/>
        <x:v>1.1009933774834432E-4</x:v>
      </x:c>
      <x:c r="E56" s="123">
        <x:f t="shared" si="5"/>
        <x:v>5.0019884656640752</x:v>
      </x:c>
      <x:c r="F56" s="120">
        <x:f t="shared" si="6"/>
        <x:v>0</x:v>
      </x:c>
      <x:c r="G56" s="123">
        <x:f t="shared" si="7"/>
        <x:v>5.0019884656640752</x:v>
      </x:c>
      <x:c r="H56" s="122">
        <x:f t="shared" si="8"/>
        <x:v>8.7534798149121329</x:v>
      </x:c>
      <x:c r="I56" s="125">
        <x:f t="shared" si="9"/>
        <x:v>5.1153846153846132</x:v>
      </x:c>
      <x:c r="J56" s="125">
        <x:f t="shared" si="10"/>
        <x:v>4.4777415976281279E-2</x:v>
      </x:c>
    </x:row>
    <x:row r="57">
      <x:c r="A57" s="120">
        <x:f t="shared" si="1"/>
        <x:v>33</x:v>
      </x:c>
      <x:c r="B57" s="120">
        <x:f t="shared" si="2"/>
        <x:v>5</x:v>
      </x:c>
      <x:c r="C57" s="120">
        <x:f t="shared" si="3"/>
        <x:v>162.5</x:v>
      </x:c>
      <x:c r="D57" s="124">
        <x:f t="shared" si="4"/>
        <x:v>2.4834437086092246E-6</x:v>
      </x:c>
      <x:c r="E57" s="123">
        <x:f t="shared" si="5"/>
        <x:v>0.11282680749618006</x:v>
      </x:c>
      <x:c r="F57" s="120">
        <x:f t="shared" si="6"/>
        <x:v>0</x:v>
      </x:c>
      <x:c r="G57" s="123">
        <x:f t="shared" si="7"/>
        <x:v>0.11282680749618006</x:v>
      </x:c>
      <x:c r="H57" s="122">
        <x:f t="shared" si="8"/>
        <x:v>0.19744691311831508</x:v>
      </x:c>
      <x:c r="I57" s="125">
        <x:f t="shared" si="9"/>
        <x:v>0.1153846153846132</x:v>
      </x:c>
      <x:c r="J57" s="125">
        <x:f t="shared" si="10"/>
        <x:v>2.2782336129035924E-5</x:v>
      </x:c>
    </x:row>
    <x:row r="58">
      <x:c r="A58" s="120">
        <x:f t="shared" si="1"/>
        <x:v>34</x:v>
      </x:c>
      <x:c r="B58" s="120">
        <x:f t="shared" si="2"/>
        <x:v>5</x:v>
      </x:c>
      <x:c r="C58" s="120">
        <x:f t="shared" si="3"/>
        <x:v>167.5</x:v>
      </x:c>
      <x:c r="D58" s="124">
        <x:f t="shared" si="4"/>
        <x:v>-1.0513245033112589E-4</x:v>
      </x:c>
      <x:c r="E58" s="120">
        <x:f t="shared" si="5"/>
        <x:v>0</x:v>
      </x:c>
      <x:c r="F58" s="133">
        <x:f t="shared" si="6"/>
        <x:v>-4.7763348506717156</x:v>
      </x:c>
      <x:c r="G58" s="133">
        <x:f t="shared" si="7"/>
        <x:v>-4.7763348506717156</x:v>
      </x:c>
      <x:c r="H58" s="122">
        <x:f t="shared" si="8"/>
        <x:v>-8.3585859886755021</x:v>
      </x:c>
      <x:c r="I58" s="125">
        <x:f t="shared" si="9"/>
        <x:v>-4.8846153846153868</x:v>
      </x:c>
      <x:c r="J58" s="125">
        <x:f t="shared" si="10"/>
        <x:v>4.0828477713914971E-2</x:v>
      </x:c>
    </x:row>
    <x:row r="59">
      <x:c r="A59" s="120">
        <x:f t="shared" si="1"/>
        <x:v>35</x:v>
      </x:c>
      <x:c r="B59" s="120">
        <x:f t="shared" si="2"/>
        <x:v>5</x:v>
      </x:c>
      <x:c r="C59" s="120">
        <x:f t="shared" si="3"/>
        <x:v>172.5</x:v>
      </x:c>
      <x:c r="D59" s="124">
        <x:f t="shared" si="4"/>
        <x:v>-2.1274834437086097E-4</x:v>
      </x:c>
      <x:c r="E59" s="120">
        <x:f t="shared" si="5"/>
        <x:v>0</x:v>
      </x:c>
      <x:c r="F59" s="120">
        <x:f t="shared" si="6"/>
        <x:v>-8.5</x:v>
      </x:c>
      <x:c r="G59" s="120">
        <x:f t="shared" si="7"/>
        <x:v>-8.5</x:v>
      </x:c>
      <x:c r="H59" s="120">
        <x:f t="shared" si="8"/>
        <x:v>-14.875</x:v>
      </x:c>
      <x:c r="I59" s="125">
        <x:f t="shared" si="9"/>
        <x:v>-9.8846153846153868</x:v>
      </x:c>
      <x:c r="J59" s="125">
        <x:f t="shared" si="10"/>
        <x:v>0.14703365384615386</x:v>
      </x:c>
    </x:row>
    <x:row r="60">
      <x:c r="A60" s="120">
        <x:f t="shared" si="1"/>
        <x:v>36</x:v>
      </x:c>
      <x:c r="B60" s="120">
        <x:f t="shared" si="2"/>
        <x:v>5</x:v>
      </x:c>
      <x:c r="C60" s="120">
        <x:f t="shared" si="3"/>
        <x:v>177.5</x:v>
      </x:c>
      <x:c r="D60" s="124">
        <x:f t="shared" si="4"/>
        <x:v>-3.2036423841059607E-4</x:v>
      </x:c>
      <x:c r="E60" s="120">
        <x:f t="shared" si="5"/>
        <x:v>0</x:v>
      </x:c>
      <x:c r="F60" s="120">
        <x:f t="shared" si="6"/>
        <x:v>-8.5</x:v>
      </x:c>
      <x:c r="G60" s="120">
        <x:f t="shared" si="7"/>
        <x:v>-8.5</x:v>
      </x:c>
      <x:c r="H60" s="120">
        <x:f t="shared" si="8"/>
        <x:v>-14.875</x:v>
      </x:c>
      <x:c r="I60" s="125">
        <x:f t="shared" si="9"/>
        <x:v>-14.884615384615387</x:v>
      </x:c>
      <x:c r="J60" s="125">
        <x:f t="shared" si="10"/>
        <x:v>0.22140865384615388</x:v>
      </x:c>
    </x:row>
    <x:row r="61">
      <x:c r="A61" s="120">
        <x:f t="shared" si="1"/>
        <x:v>37</x:v>
      </x:c>
      <x:c r="B61" s="120">
        <x:f t="shared" si="2"/>
        <x:v>5</x:v>
      </x:c>
      <x:c r="C61" s="120">
        <x:f t="shared" si="3"/>
        <x:v>182.5</x:v>
      </x:c>
      <x:c r="D61" s="124">
        <x:f t="shared" si="4"/>
        <x:v>-4.2798013245033114E-4</x:v>
      </x:c>
      <x:c r="E61" s="120">
        <x:f t="shared" si="5"/>
        <x:v>0</x:v>
      </x:c>
      <x:c r="F61" s="120">
        <x:f t="shared" si="6"/>
        <x:v>-8.5</x:v>
      </x:c>
      <x:c r="G61" s="120">
        <x:f t="shared" si="7"/>
        <x:v>-8.5</x:v>
      </x:c>
      <x:c r="H61" s="120">
        <x:f t="shared" si="8"/>
        <x:v>-14.875</x:v>
      </x:c>
      <x:c r="I61" s="125">
        <x:f t="shared" si="9"/>
        <x:v>-19.884615384615387</x:v>
      </x:c>
      <x:c r="J61" s="125">
        <x:f t="shared" si="10"/>
        <x:v>0.29578365384615385</x:v>
      </x:c>
    </x:row>
    <x:row r="62">
      <x:c r="A62" s="120">
        <x:f t="shared" si="1"/>
        <x:v>38</x:v>
      </x:c>
      <x:c r="B62" s="120">
        <x:f t="shared" si="2"/>
        <x:v>5</x:v>
      </x:c>
      <x:c r="C62" s="120">
        <x:f t="shared" si="3"/>
        <x:v>187.5</x:v>
      </x:c>
      <x:c r="D62" s="124">
        <x:f t="shared" si="4"/>
        <x:v>-5.3559602649006627E-4</x:v>
      </x:c>
      <x:c r="E62" s="120">
        <x:f t="shared" si="5"/>
        <x:v>0</x:v>
      </x:c>
      <x:c r="F62" s="120">
        <x:f t="shared" si="6"/>
        <x:v>-8.5</x:v>
      </x:c>
      <x:c r="G62" s="120">
        <x:f t="shared" si="7"/>
        <x:v>-8.5</x:v>
      </x:c>
      <x:c r="H62" s="120">
        <x:f t="shared" si="8"/>
        <x:v>-14.875</x:v>
      </x:c>
      <x:c r="I62" s="125">
        <x:f t="shared" si="9"/>
        <x:v>-24.884615384615387</x:v>
      </x:c>
      <x:c r="J62" s="125">
        <x:f t="shared" si="10"/>
        <x:v>0.37015865384615387</x:v>
      </x:c>
    </x:row>
    <x:row r="63">
      <x:c r="A63" s="120">
        <x:f t="shared" si="1"/>
        <x:v>39</x:v>
      </x:c>
      <x:c r="B63" s="120">
        <x:f t="shared" si="2"/>
        <x:v>5</x:v>
      </x:c>
      <x:c r="C63" s="120">
        <x:f t="shared" si="3"/>
        <x:v>192.5</x:v>
      </x:c>
      <x:c r="D63" s="124">
        <x:f t="shared" si="4"/>
        <x:v>-6.4321192052980134E-4</x:v>
      </x:c>
      <x:c r="E63" s="120">
        <x:f t="shared" si="5"/>
        <x:v>0</x:v>
      </x:c>
      <x:c r="F63" s="120">
        <x:f t="shared" si="6"/>
        <x:v>-8.5</x:v>
      </x:c>
      <x:c r="G63" s="120">
        <x:f t="shared" si="7"/>
        <x:v>-8.5</x:v>
      </x:c>
      <x:c r="H63" s="120">
        <x:f t="shared" si="8"/>
        <x:v>-14.875</x:v>
      </x:c>
      <x:c r="I63" s="125">
        <x:f t="shared" si="9"/>
        <x:v>-29.884615384615387</x:v>
      </x:c>
      <x:c r="J63" s="125">
        <x:f t="shared" si="10"/>
        <x:v>0.44453365384615384</x:v>
      </x:c>
    </x:row>
    <x:row r="64">
      <x:c r="A64" s="120">
        <x:f t="shared" si="1"/>
        <x:v>40</x:v>
      </x:c>
      <x:c r="B64" s="120">
        <x:f t="shared" si="2"/>
        <x:v>5</x:v>
      </x:c>
      <x:c r="C64" s="120">
        <x:f t="shared" si="3"/>
        <x:v>197.5</x:v>
      </x:c>
      <x:c r="D64" s="124">
        <x:f t="shared" si="4"/>
        <x:v>-7.5082781456953652E-4</x:v>
      </x:c>
      <x:c r="E64" s="120">
        <x:f t="shared" si="5"/>
        <x:v>0</x:v>
      </x:c>
      <x:c r="F64" s="120">
        <x:f t="shared" si="6"/>
        <x:v>-8.5</x:v>
      </x:c>
      <x:c r="G64" s="120">
        <x:f t="shared" si="7"/>
        <x:v>-8.5</x:v>
      </x:c>
      <x:c r="H64" s="120">
        <x:f t="shared" si="8"/>
        <x:v>-14.875</x:v>
      </x:c>
      <x:c r="I64" s="125">
        <x:f t="shared" si="9"/>
        <x:v>-34.884615384615387</x:v>
      </x:c>
      <x:c r="J64" s="125">
        <x:f t="shared" si="10"/>
        <x:v>0.51890865384615392</x:v>
      </x:c>
    </x:row>
    <x:row r="65">
      <x:c r="A65" s="120">
        <x:f t="shared" si="1"/>
        <x:v>41</x:v>
      </x:c>
      <x:c r="B65" s="120">
        <x:f t="shared" si="2"/>
        <x:v>5</x:v>
      </x:c>
      <x:c r="C65" s="120">
        <x:f t="shared" si="3"/>
        <x:v>202.5</x:v>
      </x:c>
      <x:c r="D65" s="124">
        <x:f t="shared" si="4"/>
        <x:v>-8.584437086092717E-4</x:v>
      </x:c>
      <x:c r="E65" s="120">
        <x:f t="shared" si="5"/>
        <x:v>0</x:v>
      </x:c>
      <x:c r="F65" s="120">
        <x:f t="shared" si="6"/>
        <x:v>-8.5</x:v>
      </x:c>
      <x:c r="G65" s="120">
        <x:f t="shared" si="7"/>
        <x:v>-8.5</x:v>
      </x:c>
      <x:c r="H65" s="120">
        <x:f t="shared" si="8"/>
        <x:v>-14.875</x:v>
      </x:c>
      <x:c r="I65" s="125">
        <x:f t="shared" si="9"/>
        <x:v>-39.884615384615387</x:v>
      </x:c>
      <x:c r="J65" s="125">
        <x:f t="shared" si="10"/>
        <x:v>0.59328365384615389</x:v>
      </x:c>
    </x:row>
    <x:row r="66">
      <x:c r="A66" s="120">
        <x:f t="shared" si="1"/>
        <x:v>42</x:v>
      </x:c>
      <x:c r="B66" s="120">
        <x:f t="shared" si="2"/>
        <x:v>5</x:v>
      </x:c>
      <x:c r="C66" s="120">
        <x:f t="shared" si="3"/>
        <x:v>207.5</x:v>
      </x:c>
      <x:c r="D66" s="124">
        <x:f t="shared" si="4"/>
        <x:v>-9.6605960264900667E-4</x:v>
      </x:c>
      <x:c r="E66" s="120">
        <x:f t="shared" si="5"/>
        <x:v>0</x:v>
      </x:c>
      <x:c r="F66" s="120">
        <x:f t="shared" si="6"/>
        <x:v>-8.5</x:v>
      </x:c>
      <x:c r="G66" s="120">
        <x:f t="shared" si="7"/>
        <x:v>-8.5</x:v>
      </x:c>
      <x:c r="H66" s="120">
        <x:f t="shared" si="8"/>
        <x:v>-14.875</x:v>
      </x:c>
      <x:c r="I66" s="125">
        <x:f t="shared" si="9"/>
        <x:v>-44.884615384615387</x:v>
      </x:c>
      <x:c r="J66" s="125">
        <x:f t="shared" si="10"/>
        <x:v>0.66765865384615397</x:v>
      </x:c>
    </x:row>
    <x:row r="67">
      <x:c r="A67" s="120">
        <x:f t="shared" si="1"/>
        <x:v>43</x:v>
      </x:c>
      <x:c r="B67" s="120">
        <x:f t="shared" si="2"/>
        <x:v>5</x:v>
      </x:c>
      <x:c r="C67" s="120">
        <x:f t="shared" si="3"/>
        <x:v>212.5</x:v>
      </x:c>
      <x:c r="D67" s="124">
        <x:f t="shared" si="4"/>
        <x:v>-1.0736754966887416E-3</x:v>
      </x:c>
      <x:c r="E67" s="120">
        <x:f t="shared" si="5"/>
        <x:v>0</x:v>
      </x:c>
      <x:c r="F67" s="120">
        <x:f t="shared" si="6"/>
        <x:v>-8.5</x:v>
      </x:c>
      <x:c r="G67" s="120">
        <x:f t="shared" si="7"/>
        <x:v>-8.5</x:v>
      </x:c>
      <x:c r="H67" s="120">
        <x:f t="shared" si="8"/>
        <x:v>-14.875</x:v>
      </x:c>
      <x:c r="I67" s="125">
        <x:f t="shared" si="9"/>
        <x:v>-49.884615384615387</x:v>
      </x:c>
      <x:c r="J67" s="125">
        <x:f t="shared" si="10"/>
        <x:v>0.74203365384615394</x:v>
      </x:c>
    </x:row>
    <x:row r="68">
      <x:c r="A68" s="120">
        <x:f t="shared" si="1"/>
        <x:v>44</x:v>
      </x:c>
      <x:c r="B68" s="120">
        <x:f t="shared" si="2"/>
        <x:v>5</x:v>
      </x:c>
      <x:c r="C68" s="120">
        <x:f t="shared" si="3"/>
        <x:v>217.5</x:v>
      </x:c>
      <x:c r="D68" s="124">
        <x:f t="shared" si="4"/>
        <x:v>-1.181291390728477E-3</x:v>
      </x:c>
      <x:c r="E68" s="120">
        <x:f t="shared" si="5"/>
        <x:v>0</x:v>
      </x:c>
      <x:c r="F68" s="120">
        <x:f t="shared" si="6"/>
        <x:v>-8.5</x:v>
      </x:c>
      <x:c r="G68" s="120">
        <x:f t="shared" si="7"/>
        <x:v>-8.5</x:v>
      </x:c>
      <x:c r="H68" s="120">
        <x:f t="shared" si="8"/>
        <x:v>-14.875</x:v>
      </x:c>
      <x:c r="I68" s="125">
        <x:f t="shared" si="9"/>
        <x:v>-54.884615384615387</x:v>
      </x:c>
      <x:c r="J68" s="125">
        <x:f t="shared" si="10"/>
        <x:v>0.81640865384615391</x:v>
      </x:c>
    </x:row>
    <x:row r="69">
      <x:c r="A69" s="120">
        <x:f t="shared" si="1"/>
        <x:v>45</x:v>
      </x:c>
      <x:c r="B69" s="120">
        <x:f t="shared" si="2"/>
        <x:v>5</x:v>
      </x:c>
      <x:c r="C69" s="120">
        <x:f t="shared" si="3"/>
        <x:v>222.5</x:v>
      </x:c>
      <x:c r="D69" s="124">
        <x:f t="shared" si="4"/>
        <x:v>-1.288907284768212E-3</x:v>
      </x:c>
      <x:c r="E69" s="120">
        <x:f t="shared" si="5"/>
        <x:v>0</x:v>
      </x:c>
      <x:c r="F69" s="120">
        <x:f t="shared" si="6"/>
        <x:v>-8.5</x:v>
      </x:c>
      <x:c r="G69" s="120">
        <x:f t="shared" si="7"/>
        <x:v>-8.5</x:v>
      </x:c>
      <x:c r="H69" s="120">
        <x:f t="shared" si="8"/>
        <x:v>-14.875</x:v>
      </x:c>
      <x:c r="I69" s="125">
        <x:f t="shared" si="9"/>
        <x:v>-59.884615384615387</x:v>
      </x:c>
      <x:c r="J69" s="125">
        <x:f t="shared" si="10"/>
        <x:v>0.89078365384615388</x:v>
      </x:c>
    </x:row>
    <x:row r="70">
      <x:c r="A70" s="120">
        <x:f t="shared" si="1"/>
        <x:v>46</x:v>
      </x:c>
      <x:c r="B70" s="120">
        <x:f t="shared" si="2"/>
        <x:v>5</x:v>
      </x:c>
      <x:c r="C70" s="120">
        <x:f t="shared" si="3"/>
        <x:v>227.5</x:v>
      </x:c>
      <x:c r="D70" s="124">
        <x:f t="shared" si="4"/>
        <x:v>-1.3965231788079472E-3</x:v>
      </x:c>
      <x:c r="E70" s="120">
        <x:f t="shared" si="5"/>
        <x:v>0</x:v>
      </x:c>
      <x:c r="F70" s="120">
        <x:f t="shared" si="6"/>
        <x:v>-8.5</x:v>
      </x:c>
      <x:c r="G70" s="120">
        <x:f t="shared" si="7"/>
        <x:v>-8.5</x:v>
      </x:c>
      <x:c r="H70" s="120">
        <x:f t="shared" si="8"/>
        <x:v>-14.875</x:v>
      </x:c>
      <x:c r="I70" s="125">
        <x:f t="shared" si="9"/>
        <x:v>-64.884615384615387</x:v>
      </x:c>
      <x:c r="J70" s="125">
        <x:f t="shared" si="10"/>
        <x:v>0.96515865384615396</x:v>
      </x:c>
    </x:row>
    <x:row r="71">
      <x:c r="A71" s="120">
        <x:f t="shared" si="1"/>
        <x:v>47</x:v>
      </x:c>
      <x:c r="B71" s="120">
        <x:f t="shared" si="2"/>
        <x:v>5</x:v>
      </x:c>
      <x:c r="C71" s="120">
        <x:f t="shared" si="3"/>
        <x:v>232.5</x:v>
      </x:c>
      <x:c r="D71" s="124">
        <x:f t="shared" si="4"/>
        <x:v>-1.5041390728476821E-3</x:v>
      </x:c>
      <x:c r="E71" s="120">
        <x:f t="shared" si="5"/>
        <x:v>0</x:v>
      </x:c>
      <x:c r="F71" s="120">
        <x:f t="shared" si="6"/>
        <x:v>-8.5</x:v>
      </x:c>
      <x:c r="G71" s="120">
        <x:f t="shared" si="7"/>
        <x:v>-8.5</x:v>
      </x:c>
      <x:c r="H71" s="120">
        <x:f t="shared" si="8"/>
        <x:v>-14.875</x:v>
      </x:c>
      <x:c r="I71" s="125">
        <x:f t="shared" si="9"/>
        <x:v>-69.884615384615387</x:v>
      </x:c>
      <x:c r="J71" s="125">
        <x:f t="shared" si="10"/>
        <x:v>1.0395336538461537</x:v>
      </x:c>
    </x:row>
    <x:row r="72">
      <x:c r="A72" s="120">
        <x:f t="shared" si="1"/>
        <x:v>48</x:v>
      </x:c>
      <x:c r="B72" s="120">
        <x:f t="shared" si="2"/>
        <x:v>5</x:v>
      </x:c>
      <x:c r="C72" s="120">
        <x:f t="shared" si="3"/>
        <x:v>237.5</x:v>
      </x:c>
      <x:c r="D72" s="124">
        <x:f t="shared" si="4"/>
        <x:v>-1.6117549668874173E-3</x:v>
      </x:c>
      <x:c r="E72" s="120">
        <x:f t="shared" si="5"/>
        <x:v>0</x:v>
      </x:c>
      <x:c r="F72" s="120">
        <x:f t="shared" si="6"/>
        <x:v>-8.5</x:v>
      </x:c>
      <x:c r="G72" s="120">
        <x:f t="shared" si="7"/>
        <x:v>-8.5</x:v>
      </x:c>
      <x:c r="H72" s="120">
        <x:f t="shared" si="8"/>
        <x:v>-14.875</x:v>
      </x:c>
      <x:c r="I72" s="125">
        <x:f t="shared" si="9"/>
        <x:v>-74.884615384615387</x:v>
      </x:c>
      <x:c r="J72" s="125">
        <x:f t="shared" si="10"/>
        <x:v>1.1139086538461538</x:v>
      </x:c>
    </x:row>
    <x:row r="73">
      <x:c r="A73" s="120">
        <x:f t="shared" si="1"/>
        <x:v>49</x:v>
      </x:c>
      <x:c r="B73" s="120">
        <x:f t="shared" si="2"/>
        <x:v>5</x:v>
      </x:c>
      <x:c r="C73" s="120">
        <x:f t="shared" si="3"/>
        <x:v>242.5</x:v>
      </x:c>
      <x:c r="D73" s="124">
        <x:f t="shared" si="4"/>
        <x:v>-1.7193708609271525E-3</x:v>
      </x:c>
      <x:c r="E73" s="120">
        <x:f t="shared" si="5"/>
        <x:v>0</x:v>
      </x:c>
      <x:c r="F73" s="120">
        <x:f t="shared" si="6"/>
        <x:v>-8.5</x:v>
      </x:c>
      <x:c r="G73" s="120">
        <x:f t="shared" si="7"/>
        <x:v>-8.5</x:v>
      </x:c>
      <x:c r="H73" s="120">
        <x:f t="shared" si="8"/>
        <x:v>-14.875</x:v>
      </x:c>
      <x:c r="I73" s="125">
        <x:f t="shared" si="9"/>
        <x:v>-79.884615384615387</x:v>
      </x:c>
      <x:c r="J73" s="125">
        <x:f t="shared" si="10"/>
        <x:v>1.1882836538461539</x:v>
      </x:c>
    </x:row>
    <x:row r="74">
      <x:c r="A74" s="120">
        <x:f t="shared" si="1"/>
        <x:v>50</x:v>
      </x:c>
      <x:c r="B74" s="120">
        <x:f t="shared" si="2"/>
        <x:v>5</x:v>
      </x:c>
      <x:c r="C74" s="120">
        <x:f t="shared" si="3"/>
        <x:v>247.5</x:v>
      </x:c>
      <x:c r="D74" s="124">
        <x:f t="shared" si="4"/>
        <x:v>-1.8269867549668875E-3</x:v>
      </x:c>
      <x:c r="E74" s="120">
        <x:f t="shared" si="5"/>
        <x:v>0</x:v>
      </x:c>
      <x:c r="F74" s="120">
        <x:f t="shared" si="6"/>
        <x:v>-8.5</x:v>
      </x:c>
      <x:c r="G74" s="120">
        <x:f t="shared" si="7"/>
        <x:v>-8.5</x:v>
      </x:c>
      <x:c r="H74" s="120">
        <x:f t="shared" si="8"/>
        <x:v>-14.875</x:v>
      </x:c>
      <x:c r="I74" s="125">
        <x:f t="shared" si="9"/>
        <x:v>-84.884615384615387</x:v>
      </x:c>
      <x:c r="J74" s="125">
        <x:f t="shared" si="10"/>
        <x:v>1.2626586538461537</x:v>
      </x:c>
    </x:row>
    <x:row r="75">
      <x:c r="A75" s="120">
        <x:f t="shared" si="1"/>
        <x:v>51</x:v>
      </x:c>
      <x:c r="B75" s="120">
        <x:f t="shared" si="2"/>
        <x:v>5</x:v>
      </x:c>
      <x:c r="C75" s="120">
        <x:f t="shared" si="3"/>
        <x:v>252.5</x:v>
      </x:c>
      <x:c r="D75" s="124">
        <x:f t="shared" si="4"/>
        <x:v>-1.9346026490066226E-3</x:v>
      </x:c>
      <x:c r="E75" s="120">
        <x:f t="shared" si="5"/>
        <x:v>0</x:v>
      </x:c>
      <x:c r="F75" s="120">
        <x:f t="shared" si="6"/>
        <x:v>-8.5</x:v>
      </x:c>
      <x:c r="G75" s="120">
        <x:f t="shared" si="7"/>
        <x:v>-8.5</x:v>
      </x:c>
      <x:c r="H75" s="120">
        <x:f t="shared" si="8"/>
        <x:v>-14.875</x:v>
      </x:c>
      <x:c r="I75" s="125">
        <x:f t="shared" si="9"/>
        <x:v>-89.884615384615387</x:v>
      </x:c>
      <x:c r="J75" s="125">
        <x:f t="shared" si="10"/>
        <x:v>1.3370336538461538</x:v>
      </x:c>
    </x:row>
    <x:row r="76">
      <x:c r="A76" s="120">
        <x:f t="shared" si="1"/>
        <x:v>52</x:v>
      </x:c>
      <x:c r="B76" s="120">
        <x:f t="shared" si="2"/>
        <x:v>5</x:v>
      </x:c>
      <x:c r="C76" s="120">
        <x:f t="shared" si="3"/>
        <x:v>257.5</x:v>
      </x:c>
      <x:c r="D76" s="124">
        <x:f t="shared" si="4"/>
        <x:v>-2.0422185430463576E-3</x:v>
      </x:c>
      <x:c r="E76" s="120">
        <x:f t="shared" si="5"/>
        <x:v>0</x:v>
      </x:c>
      <x:c r="F76" s="120">
        <x:f t="shared" si="6"/>
        <x:v>-8.5</x:v>
      </x:c>
      <x:c r="G76" s="120">
        <x:f t="shared" si="7"/>
        <x:v>-8.5</x:v>
      </x:c>
      <x:c r="H76" s="120">
        <x:f t="shared" si="8"/>
        <x:v>-14.875</x:v>
      </x:c>
      <x:c r="I76" s="125">
        <x:f t="shared" si="9"/>
        <x:v>-94.884615384615387</x:v>
      </x:c>
      <x:c r="J76" s="125">
        <x:f t="shared" si="10"/>
        <x:v>1.4114086538461539</x:v>
      </x:c>
    </x:row>
    <x:row r="77">
      <x:c r="A77" s="120">
        <x:f t="shared" si="1"/>
        <x:v>53</x:v>
      </x:c>
      <x:c r="B77" s="120">
        <x:f t="shared" si="2"/>
        <x:v>5</x:v>
      </x:c>
      <x:c r="C77" s="120">
        <x:f t="shared" si="3"/>
        <x:v>262.5</x:v>
      </x:c>
      <x:c r="D77" s="124">
        <x:f t="shared" si="4"/>
        <x:v>-2.1498344370860928E-3</x:v>
      </x:c>
      <x:c r="E77" s="120">
        <x:f t="shared" si="5"/>
        <x:v>0</x:v>
      </x:c>
      <x:c r="F77" s="120">
        <x:f t="shared" si="6"/>
        <x:v>-8.5</x:v>
      </x:c>
      <x:c r="G77" s="120">
        <x:f t="shared" si="7"/>
        <x:v>-8.5</x:v>
      </x:c>
      <x:c r="H77" s="120">
        <x:f t="shared" si="8"/>
        <x:v>-14.875</x:v>
      </x:c>
      <x:c r="I77" s="125">
        <x:f t="shared" si="9"/>
        <x:v>-99.884615384615387</x:v>
      </x:c>
      <x:c r="J77" s="125">
        <x:f t="shared" si="10"/>
        <x:v>1.4857836538461537</x:v>
      </x:c>
    </x:row>
    <x:row r="78">
      <x:c r="A78" s="120">
        <x:f t="shared" si="1"/>
        <x:v>54</x:v>
      </x:c>
      <x:c r="B78" s="120">
        <x:f t="shared" si="2"/>
        <x:v>5</x:v>
      </x:c>
      <x:c r="C78" s="120">
        <x:f t="shared" si="3"/>
        <x:v>267.5</x:v>
      </x:c>
      <x:c r="D78" s="124">
        <x:f t="shared" si="4"/>
        <x:v>-2.257450331125828E-3</x:v>
      </x:c>
      <x:c r="E78" s="120">
        <x:f t="shared" si="5"/>
        <x:v>0</x:v>
      </x:c>
      <x:c r="F78" s="120">
        <x:f t="shared" si="6"/>
        <x:v>-8.5</x:v>
      </x:c>
      <x:c r="G78" s="120">
        <x:f t="shared" si="7"/>
        <x:v>-8.5</x:v>
      </x:c>
      <x:c r="H78" s="120">
        <x:f t="shared" si="8"/>
        <x:v>-14.875</x:v>
      </x:c>
      <x:c r="I78" s="125">
        <x:f t="shared" si="9"/>
        <x:v>-104.88461538461539</x:v>
      </x:c>
      <x:c r="J78" s="125">
        <x:f t="shared" si="10"/>
        <x:v>1.5601586538461538</x:v>
      </x:c>
    </x:row>
    <x:row r="79">
      <x:c r="A79" s="120">
        <x:f t="shared" si="1"/>
        <x:v>55</x:v>
      </x:c>
      <x:c r="B79" s="120">
        <x:f t="shared" si="2"/>
        <x:v>5</x:v>
      </x:c>
      <x:c r="C79" s="120">
        <x:f t="shared" si="3"/>
        <x:v>272.5</x:v>
      </x:c>
      <x:c r="D79" s="124">
        <x:f t="shared" si="4"/>
        <x:v>-2.3650662251655631E-3</x:v>
      </x:c>
      <x:c r="E79" s="120">
        <x:f t="shared" si="5"/>
        <x:v>0</x:v>
      </x:c>
      <x:c r="F79" s="120">
        <x:f t="shared" si="6"/>
        <x:v>-8.5</x:v>
      </x:c>
      <x:c r="G79" s="120">
        <x:f t="shared" si="7"/>
        <x:v>-8.5</x:v>
      </x:c>
      <x:c r="H79" s="120">
        <x:f t="shared" si="8"/>
        <x:v>-14.875</x:v>
      </x:c>
      <x:c r="I79" s="125">
        <x:f t="shared" si="9"/>
        <x:v>-109.88461538461539</x:v>
      </x:c>
      <x:c r="J79" s="125">
        <x:f t="shared" si="10"/>
        <x:v>1.6345336538461539</x:v>
      </x:c>
    </x:row>
    <x:row r="80">
      <x:c r="A80" s="120">
        <x:f t="shared" si="1"/>
        <x:v>56</x:v>
      </x:c>
      <x:c r="B80" s="120">
        <x:f t="shared" si="2"/>
        <x:v>5</x:v>
      </x:c>
      <x:c r="C80" s="120">
        <x:f t="shared" si="3"/>
        <x:v>277.5</x:v>
      </x:c>
      <x:c r="D80" s="124">
        <x:f t="shared" si="4"/>
        <x:v>-2.4726821192052983E-3</x:v>
      </x:c>
      <x:c r="E80" s="120">
        <x:f t="shared" si="5"/>
        <x:v>0</x:v>
      </x:c>
      <x:c r="F80" s="120">
        <x:f t="shared" si="6"/>
        <x:v>-8.5</x:v>
      </x:c>
      <x:c r="G80" s="120">
        <x:f t="shared" si="7"/>
        <x:v>-8.5</x:v>
      </x:c>
      <x:c r="H80" s="120">
        <x:f t="shared" si="8"/>
        <x:v>-14.875</x:v>
      </x:c>
      <x:c r="I80" s="125">
        <x:f t="shared" si="9"/>
        <x:v>-114.88461538461539</x:v>
      </x:c>
      <x:c r="J80" s="125">
        <x:f t="shared" si="10"/>
        <x:v>1.7089086538461538</x:v>
      </x:c>
    </x:row>
    <x:row r="81">
      <x:c r="A81" s="120">
        <x:f t="shared" si="1"/>
        <x:v>57</x:v>
      </x:c>
      <x:c r="B81" s="120">
        <x:f t="shared" si="2"/>
        <x:v>5</x:v>
      </x:c>
      <x:c r="C81" s="120">
        <x:f t="shared" si="3"/>
        <x:v>282.5</x:v>
      </x:c>
      <x:c r="D81" s="124">
        <x:f t="shared" si="4"/>
        <x:v>-2.5802980132450331E-3</x:v>
      </x:c>
      <x:c r="E81" s="120">
        <x:f t="shared" si="5"/>
        <x:v>0</x:v>
      </x:c>
      <x:c r="F81" s="120">
        <x:f t="shared" si="6"/>
        <x:v>-8.5</x:v>
      </x:c>
      <x:c r="G81" s="120">
        <x:f t="shared" si="7"/>
        <x:v>-8.5</x:v>
      </x:c>
      <x:c r="H81" s="120">
        <x:f t="shared" si="8"/>
        <x:v>-14.875</x:v>
      </x:c>
      <x:c r="I81" s="125">
        <x:f t="shared" si="9"/>
        <x:v>-119.88461538461539</x:v>
      </x:c>
      <x:c r="J81" s="125">
        <x:f t="shared" si="10"/>
        <x:v>1.7832836538461538</x:v>
      </x:c>
    </x:row>
    <x:row r="82">
      <x:c r="A82" s="120">
        <x:f t="shared" si="1"/>
        <x:v>58</x:v>
      </x:c>
      <x:c r="B82" s="120">
        <x:f t="shared" si="2"/>
        <x:v>5</x:v>
      </x:c>
      <x:c r="C82" s="120">
        <x:f t="shared" si="3"/>
        <x:v>287.5</x:v>
      </x:c>
      <x:c r="D82" s="124">
        <x:f t="shared" si="4"/>
        <x:v>-2.6879139072847683E-3</x:v>
      </x:c>
      <x:c r="E82" s="120">
        <x:f t="shared" si="5"/>
        <x:v>0</x:v>
      </x:c>
      <x:c r="F82" s="120">
        <x:f t="shared" si="6"/>
        <x:v>-8.5</x:v>
      </x:c>
      <x:c r="G82" s="120">
        <x:f t="shared" si="7"/>
        <x:v>-8.5</x:v>
      </x:c>
      <x:c r="H82" s="120">
        <x:f t="shared" si="8"/>
        <x:v>-14.875</x:v>
      </x:c>
      <x:c r="I82" s="125">
        <x:f t="shared" si="9"/>
        <x:v>-124.88461538461539</x:v>
      </x:c>
      <x:c r="J82" s="125">
        <x:f t="shared" si="10"/>
        <x:v>1.8576586538461539</x:v>
      </x:c>
    </x:row>
    <x:row r="83">
      <x:c r="A83" s="120">
        <x:f t="shared" si="1"/>
        <x:v>59</x:v>
      </x:c>
      <x:c r="B83" s="120">
        <x:f t="shared" si="2"/>
        <x:v>5</x:v>
      </x:c>
      <x:c r="C83" s="120">
        <x:f t="shared" si="3"/>
        <x:v>292.5</x:v>
      </x:c>
      <x:c r="D83" s="124">
        <x:f t="shared" si="4"/>
        <x:v>-2.7955298013245034E-3</x:v>
      </x:c>
      <x:c r="E83" s="120">
        <x:f t="shared" si="5"/>
        <x:v>0</x:v>
      </x:c>
      <x:c r="F83" s="120">
        <x:f t="shared" si="6"/>
        <x:v>-8.5</x:v>
      </x:c>
      <x:c r="G83" s="120">
        <x:f t="shared" si="7"/>
        <x:v>-8.5</x:v>
      </x:c>
      <x:c r="H83" s="120">
        <x:f t="shared" si="8"/>
        <x:v>-14.875</x:v>
      </x:c>
      <x:c r="I83" s="125">
        <x:f t="shared" si="9"/>
        <x:v>-129.88461538461539</x:v>
      </x:c>
      <x:c r="J83" s="125">
        <x:f t="shared" si="10"/>
        <x:v>1.9320336538461538</x:v>
      </x:c>
    </x:row>
    <x:row r="84">
      <x:c r="A84" s="120">
        <x:f t="shared" si="1"/>
        <x:v>60</x:v>
      </x:c>
      <x:c r="B84" s="120">
        <x:f t="shared" si="2"/>
        <x:v>5</x:v>
      </x:c>
      <x:c r="C84" s="120">
        <x:f t="shared" si="3"/>
        <x:v>297.5</x:v>
      </x:c>
      <x:c r="D84" s="124">
        <x:f t="shared" si="4"/>
        <x:v>-2.9031456953642386E-3</x:v>
      </x:c>
      <x:c r="E84" s="120">
        <x:f t="shared" si="5"/>
        <x:v>0</x:v>
      </x:c>
      <x:c r="F84" s="120">
        <x:f t="shared" si="6"/>
        <x:v>-8.5</x:v>
      </x:c>
      <x:c r="G84" s="120">
        <x:f t="shared" si="7"/>
        <x:v>-8.5</x:v>
      </x:c>
      <x:c r="H84" s="120">
        <x:f t="shared" si="8"/>
        <x:v>-14.875</x:v>
      </x:c>
      <x:c r="I84" s="125">
        <x:f t="shared" si="9"/>
        <x:v>-134.88461538461539</x:v>
      </x:c>
      <x:c r="J84" s="125">
        <x:f t="shared" si="10"/>
        <x:v>2.0064086538461536</x:v>
      </x:c>
    </x:row>
    <x:row r="85">
      <x:c r="A85" s="120">
        <x:f t="shared" si="1"/>
        <x:v>61</x:v>
      </x:c>
      <x:c r="B85" s="120">
        <x:f t="shared" si="2"/>
        <x:v>5</x:v>
      </x:c>
      <x:c r="C85" s="120">
        <x:f t="shared" si="3"/>
        <x:v>302.5</x:v>
      </x:c>
      <x:c r="D85" s="124">
        <x:f t="shared" si="4"/>
        <x:v>-3.0107615894039734E-3</x:v>
      </x:c>
      <x:c r="E85" s="120">
        <x:f t="shared" si="5"/>
        <x:v>0</x:v>
      </x:c>
      <x:c r="F85" s="120">
        <x:f t="shared" si="6"/>
        <x:v>-8.5</x:v>
      </x:c>
      <x:c r="G85" s="120">
        <x:f t="shared" si="7"/>
        <x:v>-8.5</x:v>
      </x:c>
      <x:c r="H85" s="120">
        <x:f t="shared" si="8"/>
        <x:v>-14.875</x:v>
      </x:c>
      <x:c r="I85" s="125">
        <x:f t="shared" si="9"/>
        <x:v>-139.88461538461539</x:v>
      </x:c>
      <x:c r="J85" s="125">
        <x:f t="shared" si="10"/>
        <x:v>2.0807836538461539</x:v>
      </x:c>
    </x:row>
    <x:row r="86">
      <x:c r="A86" s="120">
        <x:f t="shared" si="1"/>
        <x:v>62</x:v>
      </x:c>
      <x:c r="B86" s="120">
        <x:f t="shared" si="2"/>
        <x:v>5</x:v>
      </x:c>
      <x:c r="C86" s="120">
        <x:f t="shared" si="3"/>
        <x:v>307.5</x:v>
      </x:c>
      <x:c r="D86" s="124">
        <x:f t="shared" si="4"/>
        <x:v>-3.118377483443709E-3</x:v>
      </x:c>
      <x:c r="E86" s="120">
        <x:f t="shared" si="5"/>
        <x:v>0</x:v>
      </x:c>
      <x:c r="F86" s="120">
        <x:f t="shared" si="6"/>
        <x:v>-8.5</x:v>
      </x:c>
      <x:c r="G86" s="120">
        <x:f t="shared" si="7"/>
        <x:v>-8.5</x:v>
      </x:c>
      <x:c r="H86" s="120">
        <x:f t="shared" si="8"/>
        <x:v>-14.875</x:v>
      </x:c>
      <x:c r="I86" s="125">
        <x:f t="shared" si="9"/>
        <x:v>-144.88461538461539</x:v>
      </x:c>
      <x:c r="J86" s="125">
        <x:f t="shared" si="10"/>
        <x:v>2.1551586538461538</x:v>
      </x:c>
    </x:row>
    <x:row r="87">
      <x:c r="A87" s="120">
        <x:f t="shared" si="1"/>
        <x:v>63</x:v>
      </x:c>
      <x:c r="B87" s="120">
        <x:f t="shared" si="2"/>
        <x:v>5</x:v>
      </x:c>
      <x:c r="C87" s="120">
        <x:f t="shared" si="3"/>
        <x:v>312.5</x:v>
      </x:c>
      <x:c r="D87" s="124">
        <x:f t="shared" si="4"/>
        <x:v>-3.2259933774834442E-3</x:v>
      </x:c>
      <x:c r="E87" s="120">
        <x:f t="shared" si="5"/>
        <x:v>0</x:v>
      </x:c>
      <x:c r="F87" s="120">
        <x:f t="shared" si="6"/>
        <x:v>-8.5</x:v>
      </x:c>
      <x:c r="G87" s="120">
        <x:f t="shared" si="7"/>
        <x:v>-8.5</x:v>
      </x:c>
      <x:c r="H87" s="120">
        <x:f t="shared" si="8"/>
        <x:v>-14.875</x:v>
      </x:c>
      <x:c r="I87" s="125">
        <x:f t="shared" si="9"/>
        <x:v>-149.88461538461539</x:v>
      </x:c>
      <x:c r="J87" s="125">
        <x:f t="shared" si="10"/>
        <x:v>2.2295336538461537</x:v>
      </x:c>
    </x:row>
    <x:row r="88">
      <x:c r="A88" s="120">
        <x:f t="shared" si="1"/>
        <x:v>64</x:v>
      </x:c>
      <x:c r="B88" s="120">
        <x:f t="shared" si="2"/>
        <x:v>5</x:v>
      </x:c>
      <x:c r="C88" s="120">
        <x:f t="shared" si="3"/>
        <x:v>317.5</x:v>
      </x:c>
      <x:c r="D88" s="124">
        <x:f t="shared" si="4"/>
        <x:v>-3.3336092715231789E-3</x:v>
      </x:c>
      <x:c r="E88" s="120">
        <x:f t="shared" si="5"/>
        <x:v>0</x:v>
      </x:c>
      <x:c r="F88" s="120">
        <x:f t="shared" si="6"/>
        <x:v>-8.5</x:v>
      </x:c>
      <x:c r="G88" s="120">
        <x:f t="shared" si="7"/>
        <x:v>-8.5</x:v>
      </x:c>
      <x:c r="H88" s="120">
        <x:f t="shared" si="8"/>
        <x:v>-14.875</x:v>
      </x:c>
      <x:c r="I88" s="125">
        <x:f t="shared" si="9"/>
        <x:v>-154.88461538461539</x:v>
      </x:c>
      <x:c r="J88" s="125">
        <x:f t="shared" si="10"/>
        <x:v>2.303908653846154</x:v>
      </x:c>
    </x:row>
    <x:row r="89">
      <x:c r="A89" s="120">
        <x:f t="shared" si="1"/>
        <x:v>65</x:v>
      </x:c>
      <x:c r="B89" s="120">
        <x:f t="shared" si="2"/>
        <x:v>5</x:v>
      </x:c>
      <x:c r="C89" s="120">
        <x:f t="shared" si="3"/>
        <x:v>322.5</x:v>
      </x:c>
      <x:c r="D89" s="124">
        <x:f t="shared" si="4"/>
        <x:v>-3.4412251655629145E-3</x:v>
      </x:c>
      <x:c r="E89" s="120">
        <x:f t="shared" si="5"/>
        <x:v>0</x:v>
      </x:c>
      <x:c r="F89" s="120">
        <x:f t="shared" si="6"/>
        <x:v>-8.5</x:v>
      </x:c>
      <x:c r="G89" s="120">
        <x:f t="shared" si="7"/>
        <x:v>-8.5</x:v>
      </x:c>
      <x:c r="H89" s="120">
        <x:f t="shared" si="8"/>
        <x:v>-14.875</x:v>
      </x:c>
      <x:c r="I89" s="125">
        <x:f t="shared" si="9"/>
        <x:v>-159.88461538461539</x:v>
      </x:c>
      <x:c r="J89" s="125">
        <x:f t="shared" si="10"/>
        <x:v>2.3782836538461538</x:v>
      </x:c>
    </x:row>
    <x:row r="90">
      <x:c r="A90" s="120">
        <x:f t="shared" si="1"/>
        <x:v>66</x:v>
      </x:c>
      <x:c r="B90" s="120">
        <x:f t="shared" si="2"/>
        <x:v>5</x:v>
      </x:c>
      <x:c r="C90" s="120">
        <x:f t="shared" si="3"/>
        <x:v>327.5</x:v>
      </x:c>
      <x:c r="D90" s="124">
        <x:f t="shared" si="4"/>
        <x:v>-3.5488410596026493E-3</x:v>
      </x:c>
      <x:c r="E90" s="120">
        <x:f t="shared" si="5"/>
        <x:v>0</x:v>
      </x:c>
      <x:c r="F90" s="120">
        <x:f t="shared" si="6"/>
        <x:v>-8.5</x:v>
      </x:c>
      <x:c r="G90" s="120">
        <x:f t="shared" si="7"/>
        <x:v>-8.5</x:v>
      </x:c>
      <x:c r="H90" s="120">
        <x:f t="shared" si="8"/>
        <x:v>-14.875</x:v>
      </x:c>
      <x:c r="I90" s="125">
        <x:f t="shared" si="9"/>
        <x:v>-164.88461538461539</x:v>
      </x:c>
      <x:c r="J90" s="125">
        <x:f t="shared" si="10"/>
        <x:v>2.4526586538461537</x:v>
      </x:c>
    </x:row>
    <x:row r="91">
      <x:c r="A91" s="120">
        <x:f t="shared" si="1"/>
        <x:v>67</x:v>
      </x:c>
      <x:c r="B91" s="120">
        <x:f t="shared" si="2"/>
        <x:v>5</x:v>
      </x:c>
      <x:c r="C91" s="120">
        <x:f t="shared" si="3"/>
        <x:v>332.5</x:v>
      </x:c>
      <x:c r="D91" s="124">
        <x:f t="shared" si="4"/>
        <x:v>-3.656456953642384E-3</x:v>
      </x:c>
      <x:c r="E91" s="120">
        <x:f t="shared" si="5"/>
        <x:v>0</x:v>
      </x:c>
      <x:c r="F91" s="120">
        <x:f t="shared" si="6"/>
        <x:v>-8.5</x:v>
      </x:c>
      <x:c r="G91" s="120">
        <x:f t="shared" si="7"/>
        <x:v>-8.5</x:v>
      </x:c>
      <x:c r="H91" s="120">
        <x:f t="shared" si="8"/>
        <x:v>-14.875</x:v>
      </x:c>
      <x:c r="I91" s="125">
        <x:f t="shared" si="9"/>
        <x:v>-169.88461538461539</x:v>
      </x:c>
      <x:c r="J91" s="125">
        <x:f t="shared" si="10"/>
        <x:v>2.527033653846154</x:v>
      </x:c>
    </x:row>
    <x:row r="92">
      <x:c r="A92" s="120">
        <x:f t="shared" si="1"/>
        <x:v>68</x:v>
      </x:c>
      <x:c r="B92" s="120">
        <x:f t="shared" si="2"/>
        <x:v>5</x:v>
      </x:c>
      <x:c r="C92" s="120">
        <x:f t="shared" si="3"/>
        <x:v>337.5</x:v>
      </x:c>
      <x:c r="D92" s="124">
        <x:f t="shared" si="4"/>
        <x:v>-3.7640728476821196E-3</x:v>
      </x:c>
      <x:c r="E92" s="120">
        <x:f t="shared" si="5"/>
        <x:v>0</x:v>
      </x:c>
      <x:c r="F92" s="120">
        <x:f t="shared" si="6"/>
        <x:v>-8.5</x:v>
      </x:c>
      <x:c r="G92" s="120">
        <x:f t="shared" si="7"/>
        <x:v>-8.5</x:v>
      </x:c>
      <x:c r="H92" s="120">
        <x:f t="shared" si="8"/>
        <x:v>-14.875</x:v>
      </x:c>
      <x:c r="I92" s="125">
        <x:f t="shared" si="9"/>
        <x:v>-174.88461538461539</x:v>
      </x:c>
      <x:c r="J92" s="125">
        <x:f t="shared" si="10"/>
        <x:v>2.6014086538461538</x:v>
      </x:c>
    </x:row>
    <x:row r="93">
      <x:c r="A93" s="120">
        <x:f t="shared" si="1"/>
        <x:v>69</x:v>
      </x:c>
      <x:c r="B93" s="120">
        <x:f t="shared" si="2"/>
        <x:v>5</x:v>
      </x:c>
      <x:c r="C93" s="120">
        <x:f t="shared" si="3"/>
        <x:v>342.5</x:v>
      </x:c>
      <x:c r="D93" s="124">
        <x:f t="shared" si="4"/>
        <x:v>-3.8716887417218544E-3</x:v>
      </x:c>
      <x:c r="E93" s="120">
        <x:f t="shared" si="5"/>
        <x:v>0</x:v>
      </x:c>
      <x:c r="F93" s="120">
        <x:f t="shared" si="6"/>
        <x:v>-8.5</x:v>
      </x:c>
      <x:c r="G93" s="120">
        <x:f t="shared" si="7"/>
        <x:v>-8.5</x:v>
      </x:c>
      <x:c r="H93" s="120">
        <x:f t="shared" si="8"/>
        <x:v>-14.875</x:v>
      </x:c>
      <x:c r="I93" s="125">
        <x:f t="shared" si="9"/>
        <x:v>-179.88461538461539</x:v>
      </x:c>
      <x:c r="J93" s="125">
        <x:f t="shared" si="10"/>
        <x:v>2.6757836538461537</x:v>
      </x:c>
    </x:row>
    <x:row r="94">
      <x:c r="A94" s="103">
        <x:f t="shared" si="1"/>
        <x:v>70</x:v>
      </x:c>
      <x:c r="B94" s="103">
        <x:f t="shared" si="2"/>
        <x:v>5</x:v>
      </x:c>
      <x:c r="C94" s="103">
        <x:f t="shared" si="3"/>
        <x:v>347.5</x:v>
      </x:c>
      <x:c r="D94" s="134">
        <x:f t="shared" si="4"/>
        <x:v>-3.9793046357615896E-3</x:v>
      </x:c>
      <x:c r="E94" s="103">
        <x:f t="shared" si="5"/>
        <x:v>0</x:v>
      </x:c>
      <x:c r="F94" s="103">
        <x:f t="shared" si="6"/>
        <x:v>-8.5</x:v>
      </x:c>
      <x:c r="G94" s="103">
        <x:f t="shared" si="7"/>
        <x:v>-8.5</x:v>
      </x:c>
      <x:c r="H94" s="103">
        <x:f t="shared" si="8"/>
        <x:v>-14.875</x:v>
      </x:c>
      <x:c r="I94" s="135">
        <x:f t="shared" si="9"/>
        <x:v>-184.88461538461539</x:v>
      </x:c>
      <x:c r="J94" s="135">
        <x:f t="shared" si="10"/>
        <x:v>2.750158653846154</x:v>
      </x:c>
    </x:row>
    <x:row r="95">
      <x:c r="D95" s="136"/>
    </x:row>
  </x:sheetData>
  <x:mergeCells>
    <x:mergeCell ref="F14:G14"/>
    <x:mergeCell ref="A15:B15"/>
    <x:mergeCell ref="A1:G1"/>
    <x:mergeCell ref="A2:B2"/>
    <x:mergeCell ref="C2:D2"/>
    <x:mergeCell ref="A6:B6"/>
    <x:mergeCell ref="F6:H6"/>
    <x:mergeCell ref="F7:G7"/>
    <x:mergeCell ref="F8:G8"/>
    <x:mergeCell ref="F9:G9"/>
    <x:mergeCell ref="F10:G10"/>
    <x:mergeCell ref="F11:G11"/>
    <x:mergeCell ref="F12:G12"/>
    <x:mergeCell ref="F13:G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2.5703125" defaultRowHeight="15.75"/>
  <x:cols>
    <x:col min="10" max="10" width="16.7109375" customWidth="1"/>
    <x:col min="20" max="20" width="16.28515625" customWidth="1"/>
  </x:cols>
  <x:sheetData>
    <x:row r="1">
      <x:c r="A1" s="144" t="s">
        <x:v>0</x:v>
      </x:c>
      <x:c r="B1" s="145"/>
      <x:c r="C1" s="145"/>
      <x:c r="D1" s="145"/>
      <x:c r="E1" s="145"/>
      <x:c r="F1" s="145"/>
      <x:c r="G1" s="146"/>
    </x:row>
    <x:row r="2">
      <x:c r="A2" s="147" t="s">
        <x:v>1</x:v>
      </x:c>
      <x:c r="B2" s="146"/>
      <x:c r="C2" s="147" t="s">
        <x:v>2</x:v>
      </x:c>
      <x:c r="D2" s="156"/>
      <x:c r="E2" s="100" t="s">
        <x:v>104</x:v>
      </x:c>
      <x:c r="F2" s="101" t="s">
        <x:v>105</x:v>
      </x:c>
      <x:c r="G2" s="102" t="s">
        <x:v>23</x:v>
      </x:c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E3" s="103" t="s">
        <x:v>106</x:v>
      </x:c>
      <x:c r="F3" s="104" t="s">
        <x:v>107</x:v>
      </x:c>
      <x:c r="G3" s="105" t="n">
        <x:f>$B$11/($B$11+0.005)*$D$17</x:f>
        <x:v>124.35294117647058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E4" s="106" t="s">
        <x:v>108</x:v>
      </x:c>
      <x:c r="F4" s="107" t="s">
        <x:v>109</x:v>
      </x:c>
      <x:c r="G4" s="108">
        <x:v>5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8" t="s">
        <x:v>60</x:v>
      </x:c>
      <x:c r="G6" s="145"/>
      <x:c r="H6" s="146"/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9" t="s">
        <x:v>91</x:v>
      </x:c>
      <x:c r="G7" s="160"/>
      <x:c r="H7" s="109" t="n">
        <x:f>SUMIF(H25:H94,"&gt;0",H25:H94)</x:f>
        <x:v>3139.1460917484164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  <x:c r="F8" s="157" t="s">
        <x:v>92</x:v>
      </x:c>
      <x:c r="G8" s="141"/>
      <x:c r="H8" s="110" t="n">
        <x:f>SUMIF(H25:H94,"&lt;0",H25:H94)</x:f>
        <x:v>-468.16727323455336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  <x:c r="F9" s="157" t="s">
        <x:v>93</x:v>
      </x:c>
      <x:c r="G9" s="141"/>
      <x:c r="H9" s="111" t="n">
        <x:f>SUM(R25:R28)</x:f>
        <x:v>-188.65201469058633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7" t="s">
        <x:v>94</x:v>
      </x:c>
      <x:c r="G10" s="141"/>
      <x:c r="H10" s="111" t="n">
        <x:f>H7+H8+H9</x:f>
        <x:v>2482.326803823277</x:v>
      </x:c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7" t="s">
        <x:v>110</x:v>
      </x:c>
      <x:c r="G11" s="141"/>
      <x:c r="H11" s="112" t="n">
        <x:f>SUM(J25:J94)</x:f>
        <x:v>289.2582098268922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7" t="s">
        <x:v>111</x:v>
      </x:c>
      <x:c r="G12" s="141"/>
      <x:c r="H12" s="111" t="n">
        <x:f>SUM(T25:T28)</x:f>
        <x:v>101.66507220975112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7" t="s">
        <x:v>112</x:v>
      </x:c>
      <x:c r="G13" s="141"/>
      <x:c r="H13" s="112" t="n">
        <x:f>H11+H12</x:f>
        <x:v>390.9232820366433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7" t="s">
        <x:v>95</x:v>
      </x:c>
      <x:c r="G14" s="141"/>
      <x:c r="H14" s="112" t="n">
        <x:f>H13+H10*($B$4/2-$G$3)/1000</x:f>
        <x:v>516.6458336891046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0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0"/>
        <x:v>402.12385965949352</x:v>
      </x:c>
    </x:row>
    <x:row r="19">
      <x:c r="A19" s="6" t="s">
        <x:v>47</x:v>
      </x:c>
      <x:c r="B19" s="33">
        <x:f t="shared" si="0"/>
        <x:v>402.12385965949352</x:v>
      </x:c>
    </x:row>
    <x:row r="20">
      <x:c r="A20" s="6" t="s">
        <x:v>50</x:v>
      </x:c>
      <x:c r="B20" s="33">
        <x:f t="shared" si="0"/>
        <x:v>804.24771931898704</x:v>
      </x:c>
    </x:row>
    <x:row r="21">
      <x:c r="A21" s="6" t="s">
        <x:v>55</x:v>
      </x:c>
      <x:c r="B21" s="33" t="n">
        <x:f>B17+B18+B19+B20</x:f>
        <x:v>2412.743157956961</x:v>
      </x:c>
    </x:row>
    <x:row r="24">
      <x:c r="A24" s="106" t="s">
        <x:v>113</x:v>
      </x:c>
      <x:c r="B24" s="106" t="s">
        <x:v>109</x:v>
      </x:c>
      <x:c r="C24" s="106" t="s">
        <x:v>114</x:v>
      </x:c>
      <x:c r="D24" s="106" t="s">
        <x:v>115</x:v>
      </x:c>
      <x:c r="E24" s="106" t="s">
        <x:v>116</x:v>
      </x:c>
      <x:c r="F24" s="106" t="s">
        <x:v>117</x:v>
      </x:c>
      <x:c r="G24" s="106" t="s">
        <x:v>118</x:v>
      </x:c>
      <x:c r="H24" s="106" t="s">
        <x:v>119</x:v>
      </x:c>
      <x:c r="I24" s="106" t="s">
        <x:v>120</x:v>
      </x:c>
      <x:c r="J24" s="106" t="s">
        <x:v>110</x:v>
      </x:c>
      <x:c r="L24" s="113" t="s">
        <x:v>121</x:v>
      </x:c>
      <x:c r="M24" s="114" t="s">
        <x:v>122</x:v>
      </x:c>
      <x:c r="N24" s="114" t="s">
        <x:v>123</x:v>
      </x:c>
      <x:c r="O24" s="114" t="s">
        <x:v>74</x:v>
      </x:c>
      <x:c r="P24" s="114" t="s">
        <x:v>124</x:v>
      </x:c>
      <x:c r="Q24" s="114" t="s">
        <x:v>125</x:v>
      </x:c>
      <x:c r="R24" s="114" t="s">
        <x:v>126</x:v>
      </x:c>
      <x:c r="S24" s="114" t="s">
        <x:v>127</x:v>
      </x:c>
      <x:c r="T24" s="115" t="s">
        <x:v>111</x:v>
      </x:c>
    </x:row>
    <x:row r="25">
      <x:c r="A25" s="116" t="n">
        <x:f t="shared" ref="A25:A94" si="1">ROW()-24</x:f>
        <x:v>1</x:v>
      </x:c>
      <x:c r="B25" s="116" t="n">
        <x:f t="shared" ref="B25:B94" si="2">$G$4</x:f>
        <x:v>5</x:v>
      </x:c>
      <x:c r="C25" s="116" t="n">
        <x:f t="shared" ref="C25:C94" si="3">(A25-0.5)*$G$4</x:f>
        <x:v>2.5</x:v>
      </x:c>
      <x:c r="D25" s="117" t="n">
        <x:f t="shared" ref="D25:D94" si="4">$B$11*($G$3-C25)/$G$3</x:f>
        <x:v>0.003429635761589404</x:v>
      </x:c>
      <x:c r="E25" s="116" t="n">
        <x:f t="shared" ref="E25:E94" si="5">IF(D25&gt;=0,MIN($B$9*D25,$B$10*$B$7),0)</x:f>
        <x:v>110.5</x:v>
      </x:c>
      <x:c r="F25" s="116" t="n">
        <x:f t="shared" ref="F25:F94" si="6">IF(D25&lt;0,IF(ABS(D25)&lt;=$B$12,-MIN($B$9*ABS(D25),$B$8),0),0)</x:f>
        <x:v>0</x:v>
      </x:c>
      <x:c r="G25" s="116" t="n">
        <x:f t="shared" ref="G25:G94" si="7">E25+F25</x:f>
        <x:v>110.5</x:v>
      </x:c>
      <x:c r="H25" s="116" t="n">
        <x:f t="shared" ref="H25:H94" si="8">G25*$B$3*B25/1000</x:f>
        <x:v>193.375</x:v>
      </x:c>
      <x:c r="I25" s="119" t="n">
        <x:f t="shared" ref="I25:I94" si="9">$G$3-C25</x:f>
        <x:v>121.85294117647058</x:v>
      </x:c>
      <x:c r="J25" s="119" t="n">
        <x:f t="shared" ref="J25:J94" si="10">H25*I25/1000</x:f>
        <x:v>23.5633125</x:v>
      </x:c>
      <x:c r="L25" s="120" t="n">
        <x:f>1</x:f>
        <x:v>1</x:v>
      </x:c>
      <x:c r="M25" s="121" t="n">
        <x:f t="shared" ref="M25:M28" si="11">D6</x:f>
        <x:v>4</x:v>
      </x:c>
      <x:c r="N25" s="122" t="n">
        <x:f t="shared" ref="N25:N28" si="12">B17</x:f>
        <x:v>804.247719318987</x:v>
      </x:c>
      <x:c r="O25" s="123" t="n">
        <x:f t="shared" ref="O25:O28" si="13">D14</x:f>
        <x:v>48</x:v>
      </x:c>
      <x:c r="P25" s="124" t="n">
        <x:f t="shared" ref="P25:P28" si="14">$B$11*($G$3-O25)/$G$3</x:f>
        <x:v>0.0021490066225165563</x:v>
      </x:c>
      <x:c r="Q25" s="121" t="n">
        <x:f t="shared" ref="Q25:Q28" si="15">MAX(-$D$3,MIN($D$3,$D$4*1000*P25))</x:f>
        <x:v>420</x:v>
      </x:c>
      <x:c r="R25" s="122" t="n">
        <x:f t="shared" ref="R25:R28" si="16">Q25*N25/1000</x:f>
        <x:v>337.7840421139746</x:v>
      </x:c>
      <x:c r="S25" s="123" t="n">
        <x:f t="shared" ref="S25:S28" si="17">$G$3-O25</x:f>
        <x:v>76.35294117647058</x:v>
      </x:c>
      <x:c r="T25" s="122" t="n">
        <x:f t="shared" ref="T25:T28" si="18">R25*S25/1000</x:f>
        <x:v>25.79080509787876</x:v>
      </x:c>
    </x:row>
    <x:row r="26">
      <x:c r="A26" s="120">
        <x:f t="shared" si="1"/>
        <x:v>2</x:v>
      </x:c>
      <x:c r="B26" s="120">
        <x:f t="shared" si="2"/>
        <x:v>5</x:v>
      </x:c>
      <x:c r="C26" s="120">
        <x:f t="shared" si="3"/>
        <x:v>7.5</x:v>
      </x:c>
      <x:c r="D26" s="124">
        <x:f t="shared" si="4"/>
        <x:v>3.2889072847682123E-3</x:v>
      </x:c>
      <x:c r="E26" s="120">
        <x:f t="shared" si="5"/>
        <x:v>110.5</x:v>
      </x:c>
      <x:c r="F26" s="120">
        <x:f t="shared" si="6"/>
        <x:v>0</x:v>
      </x:c>
      <x:c r="G26" s="120">
        <x:f t="shared" si="7"/>
        <x:v>110.5</x:v>
      </x:c>
      <x:c r="H26" s="120">
        <x:f t="shared" si="8"/>
        <x:v>193.375</x:v>
      </x:c>
      <x:c r="I26" s="125">
        <x:f t="shared" si="9"/>
        <x:v>116.85294117647058</x:v>
      </x:c>
      <x:c r="J26" s="125">
        <x:f t="shared" si="10"/>
        <x:v>22.5964375</x:v>
      </x:c>
      <x:c r="L26" s="120" t="n">
        <x:f>2</x:f>
        <x:v>2</x:v>
      </x:c>
      <x:c r="M26" s="121">
        <x:f t="shared" si="11"/>
        <x:v>2</x:v>
      </x:c>
      <x:c r="N26" s="122">
        <x:f t="shared" si="12"/>
        <x:v>402.12385965949352</x:v>
      </x:c>
      <x:c r="O26" s="123">
        <x:f t="shared" si="13"/>
        <x:v>132.66666666666669</x:v>
      </x:c>
      <x:c r="P26" s="126">
        <x:f t="shared" si="14"/>
        <x:v>-2.3399558498896327E-4</x:v>
      </x:c>
      <x:c r="Q26" s="121">
        <x:f t="shared" si="15"/>
        <x:v>-49.139072847682286</x:v>
      </x:c>
      <x:c r="R26" s="122">
        <x:f t="shared" si="16"/>
        <x:v>-19.75999363359902</x:v>
      </x:c>
      <x:c r="S26" s="123">
        <x:f t="shared" si="17"/>
        <x:v>-8.3137254901961057</x:v>
      </x:c>
      <x:c r="T26" s="122">
        <x:f t="shared" si="18"/>
        <x:v>0.16427916275776494</x:v>
      </x:c>
    </x:row>
    <x:row r="27">
      <x:c r="A27" s="120">
        <x:f t="shared" si="1"/>
        <x:v>3</x:v>
      </x:c>
      <x:c r="B27" s="120">
        <x:f t="shared" si="2"/>
        <x:v>5</x:v>
      </x:c>
      <x:c r="C27" s="120">
        <x:f t="shared" si="3"/>
        <x:v>12.5</x:v>
      </x:c>
      <x:c r="D27" s="124">
        <x:f t="shared" si="4"/>
        <x:v>3.1481788079470198E-3</x:v>
      </x:c>
      <x:c r="E27" s="120">
        <x:f t="shared" si="5"/>
        <x:v>110.5</x:v>
      </x:c>
      <x:c r="F27" s="120">
        <x:f t="shared" si="6"/>
        <x:v>0</x:v>
      </x:c>
      <x:c r="G27" s="120">
        <x:f t="shared" si="7"/>
        <x:v>110.5</x:v>
      </x:c>
      <x:c r="H27" s="120">
        <x:f t="shared" si="8"/>
        <x:v>193.375</x:v>
      </x:c>
      <x:c r="I27" s="125">
        <x:f t="shared" si="9"/>
        <x:v>111.85294117647058</x:v>
      </x:c>
      <x:c r="J27" s="125">
        <x:f t="shared" si="10"/>
        <x:v>21.629562499999999</x:v>
      </x:c>
      <x:c r="L27" s="120">
        <x:v>3</x:v>
      </x:c>
      <x:c r="M27" s="121">
        <x:f t="shared" si="11"/>
        <x:v>2</x:v>
      </x:c>
      <x:c r="N27" s="122">
        <x:f t="shared" si="12"/>
        <x:v>402.12385965949352</x:v>
      </x:c>
      <x:c r="O27" s="123">
        <x:f t="shared" si="13"/>
        <x:v>217.33333333333334</x:v>
      </x:c>
      <x:c r="P27" s="126">
        <x:f t="shared" si="14"/>
        <x:v>-2.6169977924944817E-3</x:v>
      </x:c>
      <x:c r="Q27" s="121">
        <x:f t="shared" si="15"/>
        <x:v>-420</x:v>
      </x:c>
      <x:c r="R27" s="122">
        <x:f t="shared" si="16"/>
        <x:v>-168.89202105698729</x:v>
      </x:c>
      <x:c r="S27" s="123">
        <x:f t="shared" si="17"/>
        <x:v>-92.980392156862763</x:v>
      </x:c>
      <x:c r="T27" s="122">
        <x:f t="shared" si="18"/>
        <x:v>15.703646350043803</x:v>
      </x:c>
    </x:row>
    <x:row r="28">
      <x:c r="A28" s="120">
        <x:f t="shared" si="1"/>
        <x:v>4</x:v>
      </x:c>
      <x:c r="B28" s="120">
        <x:f t="shared" si="2"/>
        <x:v>5</x:v>
      </x:c>
      <x:c r="C28" s="120">
        <x:f t="shared" si="3"/>
        <x:v>17.5</x:v>
      </x:c>
      <x:c r="D28" s="124">
        <x:f t="shared" si="4"/>
        <x:v>3.0074503311258278E-3</x:v>
      </x:c>
      <x:c r="E28" s="120">
        <x:f t="shared" si="5"/>
        <x:v>110.5</x:v>
      </x:c>
      <x:c r="F28" s="120">
        <x:f t="shared" si="6"/>
        <x:v>0</x:v>
      </x:c>
      <x:c r="G28" s="120">
        <x:f t="shared" si="7"/>
        <x:v>110.5</x:v>
      </x:c>
      <x:c r="H28" s="120">
        <x:f t="shared" si="8"/>
        <x:v>193.375</x:v>
      </x:c>
      <x:c r="I28" s="125">
        <x:f t="shared" si="9"/>
        <x:v>106.85294117647058</x:v>
      </x:c>
      <x:c r="J28" s="125">
        <x:f t="shared" si="10"/>
        <x:v>20.662687500000001</x:v>
      </x:c>
      <x:c r="L28" s="103">
        <x:v>4</x:v>
      </x:c>
      <x:c r="M28" s="127">
        <x:f t="shared" si="11"/>
        <x:v>4</x:v>
      </x:c>
      <x:c r="N28" s="128">
        <x:f t="shared" si="12"/>
        <x:v>804.24771931898704</x:v>
      </x:c>
      <x:c r="O28" s="129">
        <x:f t="shared" si="13"/>
        <x:v>302</x:v>
      </x:c>
      <x:c r="P28" s="103">
        <x:f t="shared" si="14"/>
        <x:v>-5.000000000000001E-3</x:v>
      </x:c>
      <x:c r="Q28" s="127">
        <x:f t="shared" si="15"/>
        <x:v>-420</x:v>
      </x:c>
      <x:c r="R28" s="128">
        <x:f t="shared" si="16"/>
        <x:v>-337.78404211397458</x:v>
      </x:c>
      <x:c r="S28" s="129">
        <x:f t="shared" si="17"/>
        <x:v>-177.64705882352942</x:v>
      </x:c>
      <x:c r="T28" s="128">
        <x:f t="shared" si="18"/>
        <x:v>60.00634159907078</x:v>
      </x:c>
    </x:row>
    <x:row r="29">
      <x:c r="A29" s="120">
        <x:f t="shared" si="1"/>
        <x:v>5</x:v>
      </x:c>
      <x:c r="B29" s="120">
        <x:f t="shared" si="2"/>
        <x:v>5</x:v>
      </x:c>
      <x:c r="C29" s="120">
        <x:f t="shared" si="3"/>
        <x:v>22.5</x:v>
      </x:c>
      <x:c r="D29" s="124">
        <x:f t="shared" si="4"/>
        <x:v>2.8667218543046357E-3</x:v>
      </x:c>
      <x:c r="E29" s="120">
        <x:f t="shared" si="5"/>
        <x:v>110.5</x:v>
      </x:c>
      <x:c r="F29" s="120">
        <x:f t="shared" si="6"/>
        <x:v>0</x:v>
      </x:c>
      <x:c r="G29" s="120">
        <x:f t="shared" si="7"/>
        <x:v>110.5</x:v>
      </x:c>
      <x:c r="H29" s="120">
        <x:f t="shared" si="8"/>
        <x:v>193.375</x:v>
      </x:c>
      <x:c r="I29" s="125">
        <x:f t="shared" si="9"/>
        <x:v>101.85294117647058</x:v>
      </x:c>
      <x:c r="J29" s="125">
        <x:f t="shared" si="10"/>
        <x:v>19.695812499999999</x:v>
      </x:c>
      <x:c r="R29" s="130"/>
    </x:row>
    <x:row r="30">
      <x:c r="A30" s="120">
        <x:f t="shared" si="1"/>
        <x:v>6</x:v>
      </x:c>
      <x:c r="B30" s="120">
        <x:f t="shared" si="2"/>
        <x:v>5</x:v>
      </x:c>
      <x:c r="C30" s="120">
        <x:f t="shared" si="3"/>
        <x:v>27.5</x:v>
      </x:c>
      <x:c r="D30" s="124">
        <x:f t="shared" si="4"/>
        <x:v>2.7259933774834437E-3</x:v>
      </x:c>
      <x:c r="E30" s="120">
        <x:f t="shared" si="5"/>
        <x:v>110.5</x:v>
      </x:c>
      <x:c r="F30" s="120">
        <x:f t="shared" si="6"/>
        <x:v>0</x:v>
      </x:c>
      <x:c r="G30" s="120">
        <x:f t="shared" si="7"/>
        <x:v>110.5</x:v>
      </x:c>
      <x:c r="H30" s="120">
        <x:f t="shared" si="8"/>
        <x:v>193.375</x:v>
      </x:c>
      <x:c r="I30" s="125">
        <x:f t="shared" si="9"/>
        <x:v>96.85294117647058</x:v>
      </x:c>
      <x:c r="J30" s="125">
        <x:f t="shared" si="10"/>
        <x:v>18.728937500000001</x:v>
      </x:c>
    </x:row>
    <x:row r="31">
      <x:c r="A31" s="120">
        <x:f t="shared" si="1"/>
        <x:v>7</x:v>
      </x:c>
      <x:c r="B31" s="120">
        <x:f t="shared" si="2"/>
        <x:v>5</x:v>
      </x:c>
      <x:c r="C31" s="120">
        <x:f t="shared" si="3"/>
        <x:v>32.5</x:v>
      </x:c>
      <x:c r="D31" s="124">
        <x:f t="shared" si="4"/>
        <x:v>2.5852649006622517E-3</x:v>
      </x:c>
      <x:c r="E31" s="120">
        <x:f t="shared" si="5"/>
        <x:v>110.5</x:v>
      </x:c>
      <x:c r="F31" s="120">
        <x:f t="shared" si="6"/>
        <x:v>0</x:v>
      </x:c>
      <x:c r="G31" s="120">
        <x:f t="shared" si="7"/>
        <x:v>110.5</x:v>
      </x:c>
      <x:c r="H31" s="120">
        <x:f t="shared" si="8"/>
        <x:v>193.375</x:v>
      </x:c>
      <x:c r="I31" s="125">
        <x:f t="shared" si="9"/>
        <x:v>91.85294117647058</x:v>
      </x:c>
      <x:c r="J31" s="125">
        <x:f t="shared" si="10"/>
        <x:v>17.762062499999999</x:v>
      </x:c>
    </x:row>
    <x:row r="32">
      <x:c r="A32" s="120">
        <x:f t="shared" si="1"/>
        <x:v>8</x:v>
      </x:c>
      <x:c r="B32" s="120">
        <x:f t="shared" si="2"/>
        <x:v>5</x:v>
      </x:c>
      <x:c r="C32" s="120">
        <x:f t="shared" si="3"/>
        <x:v>37.5</x:v>
      </x:c>
      <x:c r="D32" s="124">
        <x:f t="shared" si="4"/>
        <x:v>2.4445364238410597E-3</x:v>
      </x:c>
      <x:c r="E32" s="120">
        <x:f t="shared" si="5"/>
        <x:v>110.5</x:v>
      </x:c>
      <x:c r="F32" s="120">
        <x:f t="shared" si="6"/>
        <x:v>0</x:v>
      </x:c>
      <x:c r="G32" s="120">
        <x:f t="shared" si="7"/>
        <x:v>110.5</x:v>
      </x:c>
      <x:c r="H32" s="120">
        <x:f t="shared" si="8"/>
        <x:v>193.375</x:v>
      </x:c>
      <x:c r="I32" s="125">
        <x:f t="shared" si="9"/>
        <x:v>86.85294117647058</x:v>
      </x:c>
      <x:c r="J32" s="125">
        <x:f t="shared" si="10"/>
        <x:v>16.795187500000001</x:v>
      </x:c>
    </x:row>
    <x:row r="33">
      <x:c r="A33" s="120">
        <x:f t="shared" si="1"/>
        <x:v>9</x:v>
      </x:c>
      <x:c r="B33" s="120">
        <x:f t="shared" si="2"/>
        <x:v>5</x:v>
      </x:c>
      <x:c r="C33" s="120">
        <x:f t="shared" si="3"/>
        <x:v>42.5</x:v>
      </x:c>
      <x:c r="D33" s="124">
        <x:f t="shared" si="4"/>
        <x:v>2.3038079470198676E-3</x:v>
      </x:c>
      <x:c r="E33" s="123">
        <x:f t="shared" si="5"/>
        <x:v>104.66566842062501</x:v>
      </x:c>
      <x:c r="F33" s="121">
        <x:f t="shared" si="6"/>
        <x:v>0</x:v>
      </x:c>
      <x:c r="G33" s="123">
        <x:f t="shared" si="7"/>
        <x:v>104.66566842062501</x:v>
      </x:c>
      <x:c r="H33" s="123">
        <x:f t="shared" si="8"/>
        <x:v>183.16491973609376</x:v>
      </x:c>
      <x:c r="I33" s="125">
        <x:f t="shared" si="9"/>
        <x:v>81.85294117647058</x:v>
      </x:c>
      <x:c r="J33" s="125">
        <x:f t="shared" si="10"/>
        <x:v>14.992587400751438</x:v>
      </x:c>
    </x:row>
    <x:row r="34">
      <x:c r="A34" s="120">
        <x:f t="shared" si="1"/>
        <x:v>10</x:v>
      </x:c>
      <x:c r="B34" s="120">
        <x:f t="shared" si="2"/>
        <x:v>5</x:v>
      </x:c>
      <x:c r="C34" s="120">
        <x:f t="shared" si="3"/>
        <x:v>47.5</x:v>
      </x:c>
      <x:c r="D34" s="124">
        <x:f t="shared" si="4"/>
        <x:v>2.1630794701986756E-3</x:v>
      </x:c>
      <x:c r="E34" s="123">
        <x:f t="shared" si="5"/>
        <x:v>98.272149329174695</x:v>
      </x:c>
      <x:c r="F34" s="121">
        <x:f t="shared" si="6"/>
        <x:v>0</x:v>
      </x:c>
      <x:c r="G34" s="123">
        <x:f t="shared" si="7"/>
        <x:v>98.272149329174695</x:v>
      </x:c>
      <x:c r="H34" s="123">
        <x:f t="shared" si="8"/>
        <x:v>171.97626132605572</x:v>
      </x:c>
      <x:c r="I34" s="125">
        <x:f t="shared" si="9"/>
        <x:v>76.85294117647058</x:v>
      </x:c>
      <x:c r="J34" s="125">
        <x:f t="shared" si="10"/>
        <x:v>13.216881495440694</x:v>
      </x:c>
      <x:c r="M34" s="131"/>
      <x:c r="N34" s="130"/>
      <x:c r="O34" s="132"/>
      <x:c r="Q34" s="131"/>
      <x:c r="S34" s="132"/>
    </x:row>
    <x:row r="35">
      <x:c r="A35" s="120">
        <x:f t="shared" si="1"/>
        <x:v>11</x:v>
      </x:c>
      <x:c r="B35" s="120">
        <x:f t="shared" si="2"/>
        <x:v>5</x:v>
      </x:c>
      <x:c r="C35" s="120">
        <x:f t="shared" si="3"/>
        <x:v>52.5</x:v>
      </x:c>
      <x:c r="D35" s="124">
        <x:f t="shared" si="4"/>
        <x:v>2.0223509933774832E-3</x:v>
      </x:c>
      <x:c r="E35" s="123">
        <x:f t="shared" si="5"/>
        <x:v>91.878630237724352</x:v>
      </x:c>
      <x:c r="F35" s="120">
        <x:f t="shared" si="6"/>
        <x:v>0</x:v>
      </x:c>
      <x:c r="G35" s="123">
        <x:f t="shared" si="7"/>
        <x:v>91.878630237724352</x:v>
      </x:c>
      <x:c r="H35" s="122">
        <x:f t="shared" si="8"/>
        <x:v>160.78760291601762</x:v>
      </x:c>
      <x:c r="I35" s="125">
        <x:f t="shared" si="9"/>
        <x:v>71.85294117647058</x:v>
      </x:c>
      <x:c r="J35" s="125">
        <x:f t="shared" si="10"/>
        <x:v>11.553062174230323</x:v>
      </x:c>
    </x:row>
    <x:row r="36">
      <x:c r="A36" s="120">
        <x:f t="shared" si="1"/>
        <x:v>12</x:v>
      </x:c>
      <x:c r="B36" s="120">
        <x:f t="shared" si="2"/>
        <x:v>5</x:v>
      </x:c>
      <x:c r="C36" s="120">
        <x:f t="shared" si="3"/>
        <x:v>57.5</x:v>
      </x:c>
      <x:c r="D36" s="124">
        <x:f t="shared" si="4"/>
        <x:v>1.8816225165562913E-3</x:v>
      </x:c>
      <x:c r="E36" s="123">
        <x:f t="shared" si="5"/>
        <x:v>85.485111146274036</x:v>
      </x:c>
      <x:c r="F36" s="120">
        <x:f t="shared" si="6"/>
        <x:v>0</x:v>
      </x:c>
      <x:c r="G36" s="123">
        <x:f t="shared" si="7"/>
        <x:v>85.485111146274036</x:v>
      </x:c>
      <x:c r="H36" s="122">
        <x:f t="shared" si="8"/>
        <x:v>149.59894450597957</x:v>
      </x:c>
      <x:c r="I36" s="125">
        <x:f t="shared" si="9"/>
        <x:v>66.85294117647058</x:v>
      </x:c>
      <x:c r="J36" s="125">
        <x:f t="shared" si="10"/>
        <x:v>10.001129437120339</x:v>
      </x:c>
    </x:row>
    <x:row r="37">
      <x:c r="A37" s="120">
        <x:f t="shared" si="1"/>
        <x:v>13</x:v>
      </x:c>
      <x:c r="B37" s="120">
        <x:f t="shared" si="2"/>
        <x:v>5</x:v>
      </x:c>
      <x:c r="C37" s="120">
        <x:f t="shared" si="3"/>
        <x:v>62.5</x:v>
      </x:c>
      <x:c r="D37" s="124">
        <x:f t="shared" si="4"/>
        <x:v>1.7408940397350991E-3</x:v>
      </x:c>
      <x:c r="E37" s="123">
        <x:f t="shared" si="5"/>
        <x:v>79.091592054823707</x:v>
      </x:c>
      <x:c r="F37" s="120">
        <x:f t="shared" si="6"/>
        <x:v>0</x:v>
      </x:c>
      <x:c r="G37" s="123">
        <x:f t="shared" si="7"/>
        <x:v>79.091592054823707</x:v>
      </x:c>
      <x:c r="H37" s="122">
        <x:f t="shared" si="8"/>
        <x:v>138.4102860959415</x:v>
      </x:c>
      <x:c r="I37" s="125">
        <x:f t="shared" si="9"/>
        <x:v>61.85294117647058</x:v>
      </x:c>
      <x:c r="J37" s="125">
        <x:f t="shared" si="10"/>
        <x:v>8.5610832841107332</x:v>
      </x:c>
    </x:row>
    <x:row r="38">
      <x:c r="A38" s="120">
        <x:f t="shared" si="1"/>
        <x:v>14</x:v>
      </x:c>
      <x:c r="B38" s="120">
        <x:f t="shared" si="2"/>
        <x:v>5</x:v>
      </x:c>
      <x:c r="C38" s="120">
        <x:f t="shared" si="3"/>
        <x:v>67.5</x:v>
      </x:c>
      <x:c r="D38" s="124">
        <x:f t="shared" si="4"/>
        <x:v>1.6001655629139073E-3</x:v>
      </x:c>
      <x:c r="E38" s="123">
        <x:f t="shared" si="5"/>
        <x:v>72.698072963373392</x:v>
      </x:c>
      <x:c r="F38" s="120">
        <x:f t="shared" si="6"/>
        <x:v>0</x:v>
      </x:c>
      <x:c r="G38" s="123">
        <x:f t="shared" si="7"/>
        <x:v>72.698072963373392</x:v>
      </x:c>
      <x:c r="H38" s="122">
        <x:f t="shared" si="8"/>
        <x:v>127.22162768590344</x:v>
      </x:c>
      <x:c r="I38" s="125">
        <x:f t="shared" si="9"/>
        <x:v>56.85294117647058</x:v>
      </x:c>
      <x:c r="J38" s="125">
        <x:f t="shared" si="10"/>
        <x:v>7.2329237152015091</x:v>
      </x:c>
    </x:row>
    <x:row r="39">
      <x:c r="A39" s="120">
        <x:f t="shared" si="1"/>
        <x:v>15</x:v>
      </x:c>
      <x:c r="B39" s="120">
        <x:f t="shared" si="2"/>
        <x:v>5</x:v>
      </x:c>
      <x:c r="C39" s="120">
        <x:f t="shared" si="3"/>
        <x:v>72.5</x:v>
      </x:c>
      <x:c r="D39" s="124">
        <x:f t="shared" si="4"/>
        <x:v>1.459437086092715E-3</x:v>
      </x:c>
      <x:c r="E39" s="123">
        <x:f t="shared" si="5"/>
        <x:v>66.304553871923062</x:v>
      </x:c>
      <x:c r="F39" s="120">
        <x:f t="shared" si="6"/>
        <x:v>0</x:v>
      </x:c>
      <x:c r="G39" s="123">
        <x:f t="shared" si="7"/>
        <x:v>66.304553871923062</x:v>
      </x:c>
      <x:c r="H39" s="122">
        <x:f t="shared" si="8"/>
        <x:v>116.03296927586536</x:v>
      </x:c>
      <x:c r="I39" s="125">
        <x:f t="shared" si="9"/>
        <x:v>51.85294117647058</x:v>
      </x:c>
      <x:c r="J39" s="125">
        <x:f t="shared" si="10"/>
        <x:v>6.0166507303926648</x:v>
      </x:c>
    </x:row>
    <x:row r="40">
      <x:c r="A40" s="120">
        <x:f t="shared" si="1"/>
        <x:v>16</x:v>
      </x:c>
      <x:c r="B40" s="120">
        <x:f t="shared" si="2"/>
        <x:v>5</x:v>
      </x:c>
      <x:c r="C40" s="120">
        <x:f t="shared" si="3"/>
        <x:v>77.5</x:v>
      </x:c>
      <x:c r="D40" s="124">
        <x:f t="shared" si="4"/>
        <x:v>1.318708609271523E-3</x:v>
      </x:c>
      <x:c r="E40" s="123">
        <x:f t="shared" si="5"/>
        <x:v>59.911034780472733</x:v>
      </x:c>
      <x:c r="F40" s="120">
        <x:f t="shared" si="6"/>
        <x:v>0</x:v>
      </x:c>
      <x:c r="G40" s="123">
        <x:f t="shared" si="7"/>
        <x:v>59.911034780472733</x:v>
      </x:c>
      <x:c r="H40" s="122">
        <x:f t="shared" si="8"/>
        <x:v>104.84431086582728</x:v>
      </x:c>
      <x:c r="I40" s="125">
        <x:f t="shared" si="9"/>
        <x:v>46.85294117647058</x:v>
      </x:c>
      <x:c r="J40" s="125">
        <x:f t="shared" si="10"/>
        <x:v>4.9122643296842003</x:v>
      </x:c>
    </x:row>
    <x:row r="41">
      <x:c r="A41" s="120">
        <x:f t="shared" si="1"/>
        <x:v>17</x:v>
      </x:c>
      <x:c r="B41" s="120">
        <x:f t="shared" si="2"/>
        <x:v>5</x:v>
      </x:c>
      <x:c r="C41" s="120">
        <x:f t="shared" si="3"/>
        <x:v>82.5</x:v>
      </x:c>
      <x:c r="D41" s="124">
        <x:f t="shared" si="4"/>
        <x:v>1.1779801324503308E-3</x:v>
      </x:c>
      <x:c r="E41" s="123">
        <x:f t="shared" si="5"/>
        <x:v>53.517515689022403</x:v>
      </x:c>
      <x:c r="F41" s="120">
        <x:f t="shared" si="6"/>
        <x:v>0</x:v>
      </x:c>
      <x:c r="G41" s="123">
        <x:f t="shared" si="7"/>
        <x:v>53.517515689022403</x:v>
      </x:c>
      <x:c r="H41" s="122">
        <x:f t="shared" si="8"/>
        <x:v>93.655652455789209</x:v>
      </x:c>
      <x:c r="I41" s="125">
        <x:f t="shared" si="9"/>
        <x:v>41.85294117647058</x:v>
      </x:c>
      <x:c r="J41" s="125">
        <x:f t="shared" si="10"/>
        <x:v>3.9197645130761178</x:v>
      </x:c>
    </x:row>
    <x:row r="42">
      <x:c r="A42" s="120">
        <x:f t="shared" si="1"/>
        <x:v>18</x:v>
      </x:c>
      <x:c r="B42" s="120">
        <x:f t="shared" si="2"/>
        <x:v>5</x:v>
      </x:c>
      <x:c r="C42" s="120">
        <x:f t="shared" si="3"/>
        <x:v>87.5</x:v>
      </x:c>
      <x:c r="D42" s="124">
        <x:f t="shared" si="4"/>
        <x:v>1.037251655629139E-3</x:v>
      </x:c>
      <x:c r="E42" s="123">
        <x:f t="shared" si="5"/>
        <x:v>47.123996597572088</x:v>
      </x:c>
      <x:c r="F42" s="120">
        <x:f t="shared" si="6"/>
        <x:v>0</x:v>
      </x:c>
      <x:c r="G42" s="123">
        <x:f t="shared" si="7"/>
        <x:v>47.123996597572088</x:v>
      </x:c>
      <x:c r="H42" s="122">
        <x:f t="shared" si="8"/>
        <x:v>82.466994045751164</x:v>
      </x:c>
      <x:c r="I42" s="125">
        <x:f t="shared" si="9"/>
        <x:v>36.85294117647058</x:v>
      </x:c>
      <x:c r="J42" s="125">
        <x:f t="shared" si="10"/>
        <x:v>3.0391512805684173</x:v>
      </x:c>
    </x:row>
    <x:row r="43">
      <x:c r="A43" s="120">
        <x:f t="shared" si="1"/>
        <x:v>19</x:v>
      </x:c>
      <x:c r="B43" s="120">
        <x:f t="shared" si="2"/>
        <x:v>5</x:v>
      </x:c>
      <x:c r="C43" s="120">
        <x:f t="shared" si="3"/>
        <x:v>92.5</x:v>
      </x:c>
      <x:c r="D43" s="124">
        <x:f t="shared" si="4"/>
        <x:v>8.9652317880794684E-4</x:v>
      </x:c>
      <x:c r="E43" s="123">
        <x:f t="shared" si="5"/>
        <x:v>40.730477506121758</x:v>
      </x:c>
      <x:c r="F43" s="120">
        <x:f t="shared" si="6"/>
        <x:v>0</x:v>
      </x:c>
      <x:c r="G43" s="123">
        <x:f t="shared" si="7"/>
        <x:v>40.730477506121758</x:v>
      </x:c>
      <x:c r="H43" s="122">
        <x:f t="shared" si="8"/>
        <x:v>71.278335635713063</x:v>
      </x:c>
      <x:c r="I43" s="125">
        <x:f t="shared" si="9"/>
        <x:v>31.85294117647058</x:v>
      </x:c>
      <x:c r="J43" s="125">
        <x:f t="shared" si="10"/>
        <x:v>2.2704246321610948</x:v>
      </x:c>
    </x:row>
    <x:row r="44">
      <x:c r="A44" s="120">
        <x:f t="shared" si="1"/>
        <x:v>20</x:v>
      </x:c>
      <x:c r="B44" s="120">
        <x:f t="shared" si="2"/>
        <x:v>5</x:v>
      </x:c>
      <x:c r="C44" s="120">
        <x:f t="shared" si="3"/>
        <x:v>97.5</x:v>
      </x:c>
      <x:c r="D44" s="124">
        <x:f t="shared" si="4"/>
        <x:v>7.5579470198675481E-4</x:v>
      </x:c>
      <x:c r="E44" s="123">
        <x:f t="shared" si="5"/>
        <x:v>34.336958414671436</x:v>
      </x:c>
      <x:c r="F44" s="120">
        <x:f t="shared" si="6"/>
        <x:v>0</x:v>
      </x:c>
      <x:c r="G44" s="123">
        <x:f t="shared" si="7"/>
        <x:v>34.336958414671436</x:v>
      </x:c>
      <x:c r="H44" s="122">
        <x:f t="shared" si="8"/>
        <x:v>60.089677225675011</x:v>
      </x:c>
      <x:c r="I44" s="125">
        <x:f t="shared" si="9"/>
        <x:v>26.85294117647058</x:v>
      </x:c>
      <x:c r="J44" s="125">
        <x:f t="shared" si="10"/>
        <x:v>1.6135845678541549</x:v>
      </x:c>
    </x:row>
    <x:row r="45">
      <x:c r="A45" s="120">
        <x:f t="shared" si="1"/>
        <x:v>21</x:v>
      </x:c>
      <x:c r="B45" s="120">
        <x:f t="shared" si="2"/>
        <x:v>5</x:v>
      </x:c>
      <x:c r="C45" s="120">
        <x:f t="shared" si="3"/>
        <x:v>102.5</x:v>
      </x:c>
      <x:c r="D45" s="124">
        <x:f t="shared" si="4"/>
        <x:v>6.1506622516556268E-4</x:v>
      </x:c>
      <x:c r="E45" s="123">
        <x:f t="shared" si="5"/>
        <x:v>27.94343932322111</x:v>
      </x:c>
      <x:c r="F45" s="120">
        <x:f t="shared" si="6"/>
        <x:v>0</x:v>
      </x:c>
      <x:c r="G45" s="123">
        <x:f t="shared" si="7"/>
        <x:v>27.94343932322111</x:v>
      </x:c>
      <x:c r="H45" s="122">
        <x:f t="shared" si="8"/>
        <x:v>48.901018815636938</x:v>
      </x:c>
      <x:c r="I45" s="125">
        <x:f t="shared" si="9"/>
        <x:v>21.85294117647058</x:v>
      </x:c>
      <x:c r="J45" s="125">
        <x:f t="shared" si="10"/>
        <x:v>1.0686310876475951</x:v>
      </x:c>
    </x:row>
    <x:row r="46">
      <x:c r="A46" s="120">
        <x:f t="shared" si="1"/>
        <x:v>22</x:v>
      </x:c>
      <x:c r="B46" s="120">
        <x:f t="shared" si="2"/>
        <x:v>5</x:v>
      </x:c>
      <x:c r="C46" s="120">
        <x:f t="shared" si="3"/>
        <x:v>107.5</x:v>
      </x:c>
      <x:c r="D46" s="124">
        <x:f t="shared" si="4"/>
        <x:v>4.7433774834437065E-4</x:v>
      </x:c>
      <x:c r="E46" s="123">
        <x:f t="shared" si="5"/>
        <x:v>21.549920231770788</x:v>
      </x:c>
      <x:c r="F46" s="120">
        <x:f t="shared" si="6"/>
        <x:v>0</x:v>
      </x:c>
      <x:c r="G46" s="123">
        <x:f t="shared" si="7"/>
        <x:v>21.549920231770788</x:v>
      </x:c>
      <x:c r="H46" s="122">
        <x:f t="shared" si="8"/>
        <x:v>37.712360405598879</x:v>
      </x:c>
      <x:c r="I46" s="125">
        <x:f t="shared" si="9"/>
        <x:v>16.85294117647058</x:v>
      </x:c>
      <x:c r="J46" s="125">
        <x:f t="shared" si="10"/>
        <x:v>0.63556419154141608</x:v>
      </x:c>
    </x:row>
    <x:row r="47">
      <x:c r="A47" s="120">
        <x:f t="shared" si="1"/>
        <x:v>23</x:v>
      </x:c>
      <x:c r="B47" s="120">
        <x:f t="shared" si="2"/>
        <x:v>5</x:v>
      </x:c>
      <x:c r="C47" s="120">
        <x:f t="shared" si="3"/>
        <x:v>112.5</x:v>
      </x:c>
      <x:c r="D47" s="124">
        <x:f t="shared" si="4"/>
        <x:v>3.3360927152317857E-4</x:v>
      </x:c>
      <x:c r="E47" s="123">
        <x:f t="shared" si="5"/>
        <x:v>15.156401140320463</x:v>
      </x:c>
      <x:c r="F47" s="120">
        <x:f t="shared" si="6"/>
        <x:v>0</x:v>
      </x:c>
      <x:c r="G47" s="123">
        <x:f t="shared" si="7"/>
        <x:v>15.156401140320463</x:v>
      </x:c>
      <x:c r="H47" s="122">
        <x:f t="shared" si="8"/>
        <x:v>26.52370199556081</x:v>
      </x:c>
      <x:c r="I47" s="125">
        <x:f t="shared" si="9"/>
        <x:v>11.85294117647058</x:v>
      </x:c>
      <x:c r="J47" s="125">
        <x:f t="shared" si="10"/>
        <x:v>0.31438387953561758</x:v>
      </x:c>
    </x:row>
    <x:row r="48">
      <x:c r="A48" s="120">
        <x:f t="shared" si="1"/>
        <x:v>24</x:v>
      </x:c>
      <x:c r="B48" s="120">
        <x:f t="shared" si="2"/>
        <x:v>5</x:v>
      </x:c>
      <x:c r="C48" s="120">
        <x:f t="shared" si="3"/>
        <x:v>117.5</x:v>
      </x:c>
      <x:c r="D48" s="124">
        <x:f t="shared" si="4"/>
        <x:v>1.9288079470198655E-4</x:v>
      </x:c>
      <x:c r="E48" s="123">
        <x:f t="shared" si="5"/>
        <x:v>8.7628820488701411</x:v>
      </x:c>
      <x:c r="F48" s="120">
        <x:f t="shared" si="6"/>
        <x:v>0</x:v>
      </x:c>
      <x:c r="G48" s="123">
        <x:f t="shared" si="7"/>
        <x:v>8.7628820488701411</x:v>
      </x:c>
      <x:c r="H48" s="122">
        <x:f t="shared" si="8"/>
        <x:v>15.335043585522746</x:v>
      </x:c>
      <x:c r="I48" s="125">
        <x:f t="shared" si="9"/>
        <x:v>6.8529411764705799</x:v>
      </x:c>
      <x:c r="J48" s="125">
        <x:f t="shared" si="10"/>
        <x:v>0.10509015163019987</x:v>
      </x:c>
    </x:row>
    <x:row r="49">
      <x:c r="A49" s="120">
        <x:f t="shared" si="1"/>
        <x:v>25</x:v>
      </x:c>
      <x:c r="B49" s="120">
        <x:f t="shared" si="2"/>
        <x:v>5</x:v>
      </x:c>
      <x:c r="C49" s="120">
        <x:f t="shared" si="3"/>
        <x:v>122.5</x:v>
      </x:c>
      <x:c r="D49" s="124">
        <x:f t="shared" si="4"/>
        <x:v>5.2152317880794473E-5</x:v>
      </x:c>
      <x:c r="E49" s="123">
        <x:f t="shared" si="5"/>
        <x:v>2.3693629574198156</x:v>
      </x:c>
      <x:c r="F49" s="120">
        <x:f t="shared" si="6"/>
        <x:v>0</x:v>
      </x:c>
      <x:c r="G49" s="123">
        <x:f t="shared" si="7"/>
        <x:v>2.3693629574198156</x:v>
      </x:c>
      <x:c r="H49" s="122">
        <x:f t="shared" si="8"/>
        <x:v>4.146385175484677</x:v>
      </x:c>
      <x:c r="I49" s="125">
        <x:f t="shared" si="9"/>
        <x:v>1.8529411764705799</x:v>
      </x:c>
      <x:c r="J49" s="125">
        <x:f t="shared" si="10"/>
        <x:v>7.6830078251627493E-3</x:v>
      </x:c>
    </x:row>
    <x:row r="50">
      <x:c r="A50" s="120">
        <x:f t="shared" si="1"/>
        <x:v>26</x:v>
      </x:c>
      <x:c r="B50" s="120">
        <x:f t="shared" si="2"/>
        <x:v>5</x:v>
      </x:c>
      <x:c r="C50" s="120">
        <x:f t="shared" si="3"/>
        <x:v>127.5</x:v>
      </x:c>
      <x:c r="D50" s="124">
        <x:f t="shared" si="4"/>
        <x:v>-8.8576158940397587E-5</x:v>
      </x:c>
      <x:c r="E50" s="123">
        <x:f t="shared" si="5"/>
        <x:v>0</x:v>
      </x:c>
      <x:c r="F50" s="133">
        <x:f t="shared" si="6"/>
        <x:v>-4.024156134030509</x:v>
      </x:c>
      <x:c r="G50" s="123">
        <x:f t="shared" si="7"/>
        <x:v>-4.024156134030509</x:v>
      </x:c>
      <x:c r="H50" s="122">
        <x:f t="shared" si="8"/>
        <x:v>-7.0422732345533907</x:v>
      </x:c>
      <x:c r="I50" s="125">
        <x:f t="shared" si="9"/>
        <x:v>-3.1470588235294201</x:v>
      </x:c>
      <x:c r="J50" s="125">
        <x:f t="shared" si="10"/>
        <x:v>2.2162448120506318E-2</x:v>
      </x:c>
    </x:row>
    <x:row r="51">
      <x:c r="A51" s="120">
        <x:f t="shared" si="1"/>
        <x:v>27</x:v>
      </x:c>
      <x:c r="B51" s="120">
        <x:f t="shared" si="2"/>
        <x:v>5</x:v>
      </x:c>
      <x:c r="C51" s="120">
        <x:f t="shared" si="3"/>
        <x:v>132.5</x:v>
      </x:c>
      <x:c r="D51" s="124">
        <x:f t="shared" si="4"/>
        <x:v>-2.2930463576158964E-4</x:v>
      </x:c>
      <x:c r="E51" s="123">
        <x:f t="shared" si="5"/>
        <x:v>0</x:v>
      </x:c>
      <x:c r="F51" s="120">
        <x:f t="shared" si="6"/>
        <x:v>-8.5</x:v>
      </x:c>
      <x:c r="G51" s="123">
        <x:f t="shared" si="7"/>
        <x:v>-8.5</x:v>
      </x:c>
      <x:c r="H51" s="122">
        <x:f t="shared" si="8"/>
        <x:v>-14.875</x:v>
      </x:c>
      <x:c r="I51" s="125">
        <x:f t="shared" si="9"/>
        <x:v>-8.1470588235294201</x:v>
      </x:c>
      <x:c r="J51" s="125">
        <x:f t="shared" si="10"/>
        <x:v>0.12118750000000013</x:v>
      </x:c>
    </x:row>
    <x:row r="52">
      <x:c r="A52" s="120">
        <x:f t="shared" si="1"/>
        <x:v>28</x:v>
      </x:c>
      <x:c r="B52" s="120">
        <x:f t="shared" si="2"/>
        <x:v>5</x:v>
      </x:c>
      <x:c r="C52" s="120">
        <x:f t="shared" si="3"/>
        <x:v>137.5</x:v>
      </x:c>
      <x:c r="D52" s="124">
        <x:f t="shared" si="4"/>
        <x:v>-3.7003311258278172E-4</x:v>
      </x:c>
      <x:c r="E52" s="123">
        <x:f t="shared" si="5"/>
        <x:v>0</x:v>
      </x:c>
      <x:c r="F52" s="120">
        <x:f t="shared" si="6"/>
        <x:v>-8.5</x:v>
      </x:c>
      <x:c r="G52" s="123">
        <x:f t="shared" si="7"/>
        <x:v>-8.5</x:v>
      </x:c>
      <x:c r="H52" s="122">
        <x:f t="shared" si="8"/>
        <x:v>-14.875</x:v>
      </x:c>
      <x:c r="I52" s="125">
        <x:f t="shared" si="9"/>
        <x:v>-13.14705882352942</x:v>
      </x:c>
      <x:c r="J52" s="125">
        <x:f t="shared" si="10"/>
        <x:v>0.19556250000000011</x:v>
      </x:c>
    </x:row>
    <x:row r="53">
      <x:c r="A53" s="120">
        <x:f t="shared" si="1"/>
        <x:v>29</x:v>
      </x:c>
      <x:c r="B53" s="120">
        <x:f t="shared" si="2"/>
        <x:v>5</x:v>
      </x:c>
      <x:c r="C53" s="120">
        <x:f t="shared" si="3"/>
        <x:v>142.5</x:v>
      </x:c>
      <x:c r="D53" s="124">
        <x:f t="shared" si="4"/>
        <x:v>-5.1076158940397385E-4</x:v>
      </x:c>
      <x:c r="E53" s="123">
        <x:f t="shared" si="5"/>
        <x:v>0</x:v>
      </x:c>
      <x:c r="F53" s="120">
        <x:f t="shared" si="6"/>
        <x:v>-8.5</x:v>
      </x:c>
      <x:c r="G53" s="123">
        <x:f t="shared" si="7"/>
        <x:v>-8.5</x:v>
      </x:c>
      <x:c r="H53" s="122">
        <x:f t="shared" si="8"/>
        <x:v>-14.875</x:v>
      </x:c>
      <x:c r="I53" s="125">
        <x:f t="shared" si="9"/>
        <x:v>-18.14705882352942</x:v>
      </x:c>
      <x:c r="J53" s="125">
        <x:f t="shared" si="10"/>
        <x:v>0.26993750000000011</x:v>
      </x:c>
    </x:row>
    <x:row r="54">
      <x:c r="A54" s="120">
        <x:f t="shared" si="1"/>
        <x:v>30</x:v>
      </x:c>
      <x:c r="B54" s="120">
        <x:f t="shared" si="2"/>
        <x:v>5</x:v>
      </x:c>
      <x:c r="C54" s="120">
        <x:f t="shared" si="3"/>
        <x:v>147.5</x:v>
      </x:c>
      <x:c r="D54" s="124">
        <x:f t="shared" si="4"/>
        <x:v>-6.5149006622516588E-4</x:v>
      </x:c>
      <x:c r="E54" s="123">
        <x:f t="shared" si="5"/>
        <x:v>0</x:v>
      </x:c>
      <x:c r="F54" s="120">
        <x:f t="shared" si="6"/>
        <x:v>-8.5</x:v>
      </x:c>
      <x:c r="G54" s="123">
        <x:f t="shared" si="7"/>
        <x:v>-8.5</x:v>
      </x:c>
      <x:c r="H54" s="122">
        <x:f t="shared" si="8"/>
        <x:v>-14.875</x:v>
      </x:c>
      <x:c r="I54" s="125">
        <x:f t="shared" si="9"/>
        <x:v>-23.14705882352942</x:v>
      </x:c>
      <x:c r="J54" s="125">
        <x:f t="shared" si="10"/>
        <x:v>0.34431250000000013</x:v>
      </x:c>
    </x:row>
    <x:row r="55">
      <x:c r="A55" s="120">
        <x:f t="shared" si="1"/>
        <x:v>31</x:v>
      </x:c>
      <x:c r="B55" s="120">
        <x:f t="shared" si="2"/>
        <x:v>5</x:v>
      </x:c>
      <x:c r="C55" s="120">
        <x:f t="shared" si="3"/>
        <x:v>152.5</x:v>
      </x:c>
      <x:c r="D55" s="124">
        <x:f t="shared" si="4"/>
        <x:v>-7.9221854304635791E-4</x:v>
      </x:c>
      <x:c r="E55" s="123">
        <x:f t="shared" si="5"/>
        <x:v>0</x:v>
      </x:c>
      <x:c r="F55" s="120">
        <x:f t="shared" si="6"/>
        <x:v>-8.5</x:v>
      </x:c>
      <x:c r="G55" s="123">
        <x:f t="shared" si="7"/>
        <x:v>-8.5</x:v>
      </x:c>
      <x:c r="H55" s="122">
        <x:f t="shared" si="8"/>
        <x:v>-14.875</x:v>
      </x:c>
      <x:c r="I55" s="125">
        <x:f t="shared" si="9"/>
        <x:v>-28.14705882352942</x:v>
      </x:c>
      <x:c r="J55" s="125">
        <x:f t="shared" si="10"/>
        <x:v>0.4186875000000001</x:v>
      </x:c>
    </x:row>
    <x:row r="56">
      <x:c r="A56" s="120">
        <x:f t="shared" si="1"/>
        <x:v>32</x:v>
      </x:c>
      <x:c r="B56" s="120">
        <x:f t="shared" si="2"/>
        <x:v>5</x:v>
      </x:c>
      <x:c r="C56" s="120">
        <x:f t="shared" si="3"/>
        <x:v>157.5</x:v>
      </x:c>
      <x:c r="D56" s="124">
        <x:f t="shared" si="4"/>
        <x:v>-9.3294701986755004E-4</x:v>
      </x:c>
      <x:c r="E56" s="123">
        <x:f t="shared" si="5"/>
        <x:v>0</x:v>
      </x:c>
      <x:c r="F56" s="120">
        <x:f t="shared" si="6"/>
        <x:v>-8.5</x:v>
      </x:c>
      <x:c r="G56" s="123">
        <x:f t="shared" si="7"/>
        <x:v>-8.5</x:v>
      </x:c>
      <x:c r="H56" s="122">
        <x:f t="shared" si="8"/>
        <x:v>-14.875</x:v>
      </x:c>
      <x:c r="I56" s="125">
        <x:f t="shared" si="9"/>
        <x:v>-33.14705882352942</x:v>
      </x:c>
      <x:c r="J56" s="125">
        <x:f t="shared" si="10"/>
        <x:v>0.49306250000000013</x:v>
      </x:c>
    </x:row>
    <x:row r="57">
      <x:c r="A57" s="120">
        <x:f t="shared" si="1"/>
        <x:v>33</x:v>
      </x:c>
      <x:c r="B57" s="120">
        <x:f t="shared" si="2"/>
        <x:v>5</x:v>
      </x:c>
      <x:c r="C57" s="120">
        <x:f t="shared" si="3"/>
        <x:v>162.5</x:v>
      </x:c>
      <x:c r="D57" s="124">
        <x:f t="shared" si="4"/>
        <x:v>-1.0736754966887421E-3</x:v>
      </x:c>
      <x:c r="E57" s="123">
        <x:f t="shared" si="5"/>
        <x:v>0</x:v>
      </x:c>
      <x:c r="F57" s="120">
        <x:f t="shared" si="6"/>
        <x:v>-8.5</x:v>
      </x:c>
      <x:c r="G57" s="123">
        <x:f t="shared" si="7"/>
        <x:v>-8.5</x:v>
      </x:c>
      <x:c r="H57" s="122">
        <x:f t="shared" si="8"/>
        <x:v>-14.875</x:v>
      </x:c>
      <x:c r="I57" s="125">
        <x:f t="shared" si="9"/>
        <x:v>-38.14705882352942</x:v>
      </x:c>
      <x:c r="J57" s="125">
        <x:f t="shared" si="10"/>
        <x:v>0.56743750000000015</x:v>
      </x:c>
    </x:row>
    <x:row r="58">
      <x:c r="A58" s="120">
        <x:f t="shared" si="1"/>
        <x:v>34</x:v>
      </x:c>
      <x:c r="B58" s="120">
        <x:f t="shared" si="2"/>
        <x:v>5</x:v>
      </x:c>
      <x:c r="C58" s="120">
        <x:f t="shared" si="3"/>
        <x:v>167.5</x:v>
      </x:c>
      <x:c r="D58" s="124">
        <x:f t="shared" si="4"/>
        <x:v>-1.2144039735099341E-3</x:v>
      </x:c>
      <x:c r="E58" s="120">
        <x:f t="shared" si="5"/>
        <x:v>0</x:v>
      </x:c>
      <x:c r="F58" s="133">
        <x:f t="shared" si="6"/>
        <x:v>-8.5</x:v>
      </x:c>
      <x:c r="G58" s="133">
        <x:f t="shared" si="7"/>
        <x:v>-8.5</x:v>
      </x:c>
      <x:c r="H58" s="122">
        <x:f t="shared" si="8"/>
        <x:v>-14.875</x:v>
      </x:c>
      <x:c r="I58" s="125">
        <x:f t="shared" si="9"/>
        <x:v>-43.14705882352942</x:v>
      </x:c>
      <x:c r="J58" s="125">
        <x:f t="shared" si="10"/>
        <x:v>0.64181250000000012</x:v>
      </x:c>
    </x:row>
    <x:row r="59">
      <x:c r="A59" s="120">
        <x:f t="shared" si="1"/>
        <x:v>35</x:v>
      </x:c>
      <x:c r="B59" s="120">
        <x:f t="shared" si="2"/>
        <x:v>5</x:v>
      </x:c>
      <x:c r="C59" s="120">
        <x:f t="shared" si="3"/>
        <x:v>172.5</x:v>
      </x:c>
      <x:c r="D59" s="124">
        <x:f t="shared" si="4"/>
        <x:v>-1.3551324503311263E-3</x:v>
      </x:c>
      <x:c r="E59" s="120">
        <x:f t="shared" si="5"/>
        <x:v>0</x:v>
      </x:c>
      <x:c r="F59" s="120">
        <x:f t="shared" si="6"/>
        <x:v>-8.5</x:v>
      </x:c>
      <x:c r="G59" s="120">
        <x:f t="shared" si="7"/>
        <x:v>-8.5</x:v>
      </x:c>
      <x:c r="H59" s="120">
        <x:f t="shared" si="8"/>
        <x:v>-14.875</x:v>
      </x:c>
      <x:c r="I59" s="125">
        <x:f t="shared" si="9"/>
        <x:v>-48.14705882352942</x:v>
      </x:c>
      <x:c r="J59" s="125">
        <x:f t="shared" si="10"/>
        <x:v>0.71618750000000009</x:v>
      </x:c>
    </x:row>
    <x:row r="60">
      <x:c r="A60" s="120">
        <x:f t="shared" si="1"/>
        <x:v>36</x:v>
      </x:c>
      <x:c r="B60" s="120">
        <x:f t="shared" si="2"/>
        <x:v>5</x:v>
      </x:c>
      <x:c r="C60" s="120">
        <x:f t="shared" si="3"/>
        <x:v>177.5</x:v>
      </x:c>
      <x:c r="D60" s="124">
        <x:f t="shared" si="4"/>
        <x:v>-1.4958609271523181E-3</x:v>
      </x:c>
      <x:c r="E60" s="120">
        <x:f t="shared" si="5"/>
        <x:v>0</x:v>
      </x:c>
      <x:c r="F60" s="120">
        <x:f t="shared" si="6"/>
        <x:v>-8.5</x:v>
      </x:c>
      <x:c r="G60" s="120">
        <x:f t="shared" si="7"/>
        <x:v>-8.5</x:v>
      </x:c>
      <x:c r="H60" s="120">
        <x:f t="shared" si="8"/>
        <x:v>-14.875</x:v>
      </x:c>
      <x:c r="I60" s="125">
        <x:f t="shared" si="9"/>
        <x:v>-53.14705882352942</x:v>
      </x:c>
      <x:c r="J60" s="125">
        <x:f t="shared" si="10"/>
        <x:v>0.79056250000000017</x:v>
      </x:c>
    </x:row>
    <x:row r="61">
      <x:c r="A61" s="120">
        <x:f t="shared" si="1"/>
        <x:v>37</x:v>
      </x:c>
      <x:c r="B61" s="120">
        <x:f t="shared" si="2"/>
        <x:v>5</x:v>
      </x:c>
      <x:c r="C61" s="120">
        <x:f t="shared" si="3"/>
        <x:v>182.5</x:v>
      </x:c>
      <x:c r="D61" s="124">
        <x:f t="shared" si="4"/>
        <x:v>-1.6365894039735104E-3</x:v>
      </x:c>
      <x:c r="E61" s="120">
        <x:f t="shared" si="5"/>
        <x:v>0</x:v>
      </x:c>
      <x:c r="F61" s="120">
        <x:f t="shared" si="6"/>
        <x:v>-8.5</x:v>
      </x:c>
      <x:c r="G61" s="120">
        <x:f t="shared" si="7"/>
        <x:v>-8.5</x:v>
      </x:c>
      <x:c r="H61" s="120">
        <x:f t="shared" si="8"/>
        <x:v>-14.875</x:v>
      </x:c>
      <x:c r="I61" s="125">
        <x:f t="shared" si="9"/>
        <x:v>-58.14705882352942</x:v>
      </x:c>
      <x:c r="J61" s="125">
        <x:f t="shared" si="10"/>
        <x:v>0.86493750000000014</x:v>
      </x:c>
    </x:row>
    <x:row r="62">
      <x:c r="A62" s="120">
        <x:f t="shared" si="1"/>
        <x:v>38</x:v>
      </x:c>
      <x:c r="B62" s="120">
        <x:f t="shared" si="2"/>
        <x:v>5</x:v>
      </x:c>
      <x:c r="C62" s="120">
        <x:f t="shared" si="3"/>
        <x:v>187.5</x:v>
      </x:c>
      <x:c r="D62" s="124">
        <x:f t="shared" si="4"/>
        <x:v>-1.7773178807947024E-3</x:v>
      </x:c>
      <x:c r="E62" s="120">
        <x:f t="shared" si="5"/>
        <x:v>0</x:v>
      </x:c>
      <x:c r="F62" s="120">
        <x:f t="shared" si="6"/>
        <x:v>-8.5</x:v>
      </x:c>
      <x:c r="G62" s="120">
        <x:f t="shared" si="7"/>
        <x:v>-8.5</x:v>
      </x:c>
      <x:c r="H62" s="120">
        <x:f t="shared" si="8"/>
        <x:v>-14.875</x:v>
      </x:c>
      <x:c r="I62" s="125">
        <x:f t="shared" si="9"/>
        <x:v>-63.14705882352942</x:v>
      </x:c>
      <x:c r="J62" s="125">
        <x:f t="shared" si="10"/>
        <x:v>0.93931250000000011</x:v>
      </x:c>
    </x:row>
    <x:row r="63">
      <x:c r="A63" s="120">
        <x:f t="shared" si="1"/>
        <x:v>39</x:v>
      </x:c>
      <x:c r="B63" s="120">
        <x:f t="shared" si="2"/>
        <x:v>5</x:v>
      </x:c>
      <x:c r="C63" s="120">
        <x:f t="shared" si="3"/>
        <x:v>192.5</x:v>
      </x:c>
      <x:c r="D63" s="124">
        <x:f t="shared" si="4"/>
        <x:v>-1.9180463576158944E-3</x:v>
      </x:c>
      <x:c r="E63" s="120">
        <x:f t="shared" si="5"/>
        <x:v>0</x:v>
      </x:c>
      <x:c r="F63" s="120">
        <x:f t="shared" si="6"/>
        <x:v>-8.5</x:v>
      </x:c>
      <x:c r="G63" s="120">
        <x:f t="shared" si="7"/>
        <x:v>-8.5</x:v>
      </x:c>
      <x:c r="H63" s="120">
        <x:f t="shared" si="8"/>
        <x:v>-14.875</x:v>
      </x:c>
      <x:c r="I63" s="125">
        <x:f t="shared" si="9"/>
        <x:v>-68.14705882352942</x:v>
      </x:c>
      <x:c r="J63" s="125">
        <x:f t="shared" si="10"/>
        <x:v>1.0136875000000001</x:v>
      </x:c>
    </x:row>
    <x:row r="64">
      <x:c r="A64" s="120">
        <x:f t="shared" si="1"/>
        <x:v>40</x:v>
      </x:c>
      <x:c r="B64" s="120">
        <x:f t="shared" si="2"/>
        <x:v>5</x:v>
      </x:c>
      <x:c r="C64" s="120">
        <x:f t="shared" si="3"/>
        <x:v>197.5</x:v>
      </x:c>
      <x:c r="D64" s="124">
        <x:f t="shared" si="4"/>
        <x:v>-2.0587748344370865E-3</x:v>
      </x:c>
      <x:c r="E64" s="120">
        <x:f t="shared" si="5"/>
        <x:v>0</x:v>
      </x:c>
      <x:c r="F64" s="120">
        <x:f t="shared" si="6"/>
        <x:v>-8.5</x:v>
      </x:c>
      <x:c r="G64" s="120">
        <x:f t="shared" si="7"/>
        <x:v>-8.5</x:v>
      </x:c>
      <x:c r="H64" s="120">
        <x:f t="shared" si="8"/>
        <x:v>-14.875</x:v>
      </x:c>
      <x:c r="I64" s="125">
        <x:f t="shared" si="9"/>
        <x:v>-73.14705882352942</x:v>
      </x:c>
      <x:c r="J64" s="125">
        <x:f t="shared" si="10"/>
        <x:v>1.0880625000000002</x:v>
      </x:c>
    </x:row>
    <x:row r="65">
      <x:c r="A65" s="120">
        <x:f t="shared" si="1"/>
        <x:v>41</x:v>
      </x:c>
      <x:c r="B65" s="120">
        <x:f t="shared" si="2"/>
        <x:v>5</x:v>
      </x:c>
      <x:c r="C65" s="120">
        <x:f t="shared" si="3"/>
        <x:v>202.5</x:v>
      </x:c>
      <x:c r="D65" s="124">
        <x:f t="shared" si="4"/>
        <x:v>-2.1995033112582789E-3</x:v>
      </x:c>
      <x:c r="E65" s="120">
        <x:f t="shared" si="5"/>
        <x:v>0</x:v>
      </x:c>
      <x:c r="F65" s="120">
        <x:f t="shared" si="6"/>
        <x:v>-8.5</x:v>
      </x:c>
      <x:c r="G65" s="120">
        <x:f t="shared" si="7"/>
        <x:v>-8.5</x:v>
      </x:c>
      <x:c r="H65" s="120">
        <x:f t="shared" si="8"/>
        <x:v>-14.875</x:v>
      </x:c>
      <x:c r="I65" s="125">
        <x:f t="shared" si="9"/>
        <x:v>-78.14705882352942</x:v>
      </x:c>
      <x:c r="J65" s="125">
        <x:f t="shared" si="10"/>
        <x:v>1.1624375000000002</x:v>
      </x:c>
    </x:row>
    <x:row r="66">
      <x:c r="A66" s="120">
        <x:f t="shared" si="1"/>
        <x:v>42</x:v>
      </x:c>
      <x:c r="B66" s="120">
        <x:f t="shared" si="2"/>
        <x:v>5</x:v>
      </x:c>
      <x:c r="C66" s="120">
        <x:f t="shared" si="3"/>
        <x:v>207.5</x:v>
      </x:c>
      <x:c r="D66" s="124">
        <x:f t="shared" si="4"/>
        <x:v>-2.3402317880794705E-3</x:v>
      </x:c>
      <x:c r="E66" s="120">
        <x:f t="shared" si="5"/>
        <x:v>0</x:v>
      </x:c>
      <x:c r="F66" s="120">
        <x:f t="shared" si="6"/>
        <x:v>-8.5</x:v>
      </x:c>
      <x:c r="G66" s="120">
        <x:f t="shared" si="7"/>
        <x:v>-8.5</x:v>
      </x:c>
      <x:c r="H66" s="120">
        <x:f t="shared" si="8"/>
        <x:v>-14.875</x:v>
      </x:c>
      <x:c r="I66" s="125">
        <x:f t="shared" si="9"/>
        <x:v>-83.14705882352942</x:v>
      </x:c>
      <x:c r="J66" s="125">
        <x:f t="shared" si="10"/>
        <x:v>1.2368125000000003</x:v>
      </x:c>
    </x:row>
    <x:row r="67">
      <x:c r="A67" s="120">
        <x:f t="shared" si="1"/>
        <x:v>43</x:v>
      </x:c>
      <x:c r="B67" s="120">
        <x:f t="shared" si="2"/>
        <x:v>5</x:v>
      </x:c>
      <x:c r="C67" s="120">
        <x:f t="shared" si="3"/>
        <x:v>212.5</x:v>
      </x:c>
      <x:c r="D67" s="124">
        <x:f t="shared" si="4"/>
        <x:v>-2.4809602649006625E-3</x:v>
      </x:c>
      <x:c r="E67" s="120">
        <x:f t="shared" si="5"/>
        <x:v>0</x:v>
      </x:c>
      <x:c r="F67" s="120">
        <x:f t="shared" si="6"/>
        <x:v>-8.5</x:v>
      </x:c>
      <x:c r="G67" s="120">
        <x:f t="shared" si="7"/>
        <x:v>-8.5</x:v>
      </x:c>
      <x:c r="H67" s="120">
        <x:f t="shared" si="8"/>
        <x:v>-14.875</x:v>
      </x:c>
      <x:c r="I67" s="125">
        <x:f t="shared" si="9"/>
        <x:v>-88.14705882352942</x:v>
      </x:c>
      <x:c r="J67" s="125">
        <x:f t="shared" si="10"/>
        <x:v>1.3111875000000002</x:v>
      </x:c>
    </x:row>
    <x:row r="68">
      <x:c r="A68" s="120">
        <x:f t="shared" si="1"/>
        <x:v>44</x:v>
      </x:c>
      <x:c r="B68" s="120">
        <x:f t="shared" si="2"/>
        <x:v>5</x:v>
      </x:c>
      <x:c r="C68" s="120">
        <x:f t="shared" si="3"/>
        <x:v>217.5</x:v>
      </x:c>
      <x:c r="D68" s="124">
        <x:f t="shared" si="4"/>
        <x:v>-2.621688741721855E-3</x:v>
      </x:c>
      <x:c r="E68" s="120">
        <x:f t="shared" si="5"/>
        <x:v>0</x:v>
      </x:c>
      <x:c r="F68" s="120">
        <x:f t="shared" si="6"/>
        <x:v>-8.5</x:v>
      </x:c>
      <x:c r="G68" s="120">
        <x:f t="shared" si="7"/>
        <x:v>-8.5</x:v>
      </x:c>
      <x:c r="H68" s="120">
        <x:f t="shared" si="8"/>
        <x:v>-14.875</x:v>
      </x:c>
      <x:c r="I68" s="125">
        <x:f t="shared" si="9"/>
        <x:v>-93.14705882352942</x:v>
      </x:c>
      <x:c r="J68" s="125">
        <x:f t="shared" si="10"/>
        <x:v>1.3855625000000003</x:v>
      </x:c>
    </x:row>
    <x:row r="69">
      <x:c r="A69" s="120">
        <x:f t="shared" si="1"/>
        <x:v>45</x:v>
      </x:c>
      <x:c r="B69" s="120">
        <x:f t="shared" si="2"/>
        <x:v>5</x:v>
      </x:c>
      <x:c r="C69" s="120">
        <x:f t="shared" si="3"/>
        <x:v>222.5</x:v>
      </x:c>
      <x:c r="D69" s="124">
        <x:f t="shared" si="4"/>
        <x:v>-2.762417218543047E-3</x:v>
      </x:c>
      <x:c r="E69" s="120">
        <x:f t="shared" si="5"/>
        <x:v>0</x:v>
      </x:c>
      <x:c r="F69" s="120">
        <x:f t="shared" si="6"/>
        <x:v>-8.5</x:v>
      </x:c>
      <x:c r="G69" s="120">
        <x:f t="shared" si="7"/>
        <x:v>-8.5</x:v>
      </x:c>
      <x:c r="H69" s="120">
        <x:f t="shared" si="8"/>
        <x:v>-14.875</x:v>
      </x:c>
      <x:c r="I69" s="125">
        <x:f t="shared" si="9"/>
        <x:v>-98.14705882352942</x:v>
      </x:c>
      <x:c r="J69" s="125">
        <x:f t="shared" si="10"/>
        <x:v>1.4599375000000003</x:v>
      </x:c>
    </x:row>
    <x:row r="70">
      <x:c r="A70" s="120">
        <x:f t="shared" si="1"/>
        <x:v>46</x:v>
      </x:c>
      <x:c r="B70" s="120">
        <x:f t="shared" si="2"/>
        <x:v>5</x:v>
      </x:c>
      <x:c r="C70" s="120">
        <x:f t="shared" si="3"/>
        <x:v>227.5</x:v>
      </x:c>
      <x:c r="D70" s="124">
        <x:f t="shared" si="4"/>
        <x:v>-2.9031456953642386E-3</x:v>
      </x:c>
      <x:c r="E70" s="120">
        <x:f t="shared" si="5"/>
        <x:v>0</x:v>
      </x:c>
      <x:c r="F70" s="120">
        <x:f t="shared" si="6"/>
        <x:v>-8.5</x:v>
      </x:c>
      <x:c r="G70" s="120">
        <x:f t="shared" si="7"/>
        <x:v>-8.5</x:v>
      </x:c>
      <x:c r="H70" s="120">
        <x:f t="shared" si="8"/>
        <x:v>-14.875</x:v>
      </x:c>
      <x:c r="I70" s="125">
        <x:f t="shared" si="9"/>
        <x:v>-103.14705882352942</x:v>
      </x:c>
      <x:c r="J70" s="125">
        <x:f t="shared" si="10"/>
        <x:v>1.5343125000000002</x:v>
      </x:c>
    </x:row>
    <x:row r="71">
      <x:c r="A71" s="120">
        <x:f t="shared" si="1"/>
        <x:v>47</x:v>
      </x:c>
      <x:c r="B71" s="120">
        <x:f t="shared" si="2"/>
        <x:v>5</x:v>
      </x:c>
      <x:c r="C71" s="120">
        <x:f t="shared" si="3"/>
        <x:v>232.5</x:v>
      </x:c>
      <x:c r="D71" s="124">
        <x:f t="shared" si="4"/>
        <x:v>-3.0438741721854311E-3</x:v>
      </x:c>
      <x:c r="E71" s="120">
        <x:f t="shared" si="5"/>
        <x:v>0</x:v>
      </x:c>
      <x:c r="F71" s="120">
        <x:f t="shared" si="6"/>
        <x:v>-8.5</x:v>
      </x:c>
      <x:c r="G71" s="120">
        <x:f t="shared" si="7"/>
        <x:v>-8.5</x:v>
      </x:c>
      <x:c r="H71" s="120">
        <x:f t="shared" si="8"/>
        <x:v>-14.875</x:v>
      </x:c>
      <x:c r="I71" s="125">
        <x:f t="shared" si="9"/>
        <x:v>-108.14705882352942</x:v>
      </x:c>
      <x:c r="J71" s="125">
        <x:f t="shared" si="10"/>
        <x:v>1.6086875000000003</x:v>
      </x:c>
    </x:row>
    <x:row r="72">
      <x:c r="A72" s="120">
        <x:f t="shared" si="1"/>
        <x:v>48</x:v>
      </x:c>
      <x:c r="B72" s="120">
        <x:f t="shared" si="2"/>
        <x:v>5</x:v>
      </x:c>
      <x:c r="C72" s="120">
        <x:f t="shared" si="3"/>
        <x:v>237.5</x:v>
      </x:c>
      <x:c r="D72" s="124">
        <x:f t="shared" si="4"/>
        <x:v>-3.1846026490066231E-3</x:v>
      </x:c>
      <x:c r="E72" s="120">
        <x:f t="shared" si="5"/>
        <x:v>0</x:v>
      </x:c>
      <x:c r="F72" s="120">
        <x:f t="shared" si="6"/>
        <x:v>-8.5</x:v>
      </x:c>
      <x:c r="G72" s="120">
        <x:f t="shared" si="7"/>
        <x:v>-8.5</x:v>
      </x:c>
      <x:c r="H72" s="120">
        <x:f t="shared" si="8"/>
        <x:v>-14.875</x:v>
      </x:c>
      <x:c r="I72" s="125">
        <x:f t="shared" si="9"/>
        <x:v>-113.14705882352942</x:v>
      </x:c>
      <x:c r="J72" s="125">
        <x:f t="shared" si="10"/>
        <x:v>1.6830625000000001</x:v>
      </x:c>
    </x:row>
    <x:row r="73">
      <x:c r="A73" s="120">
        <x:f t="shared" si="1"/>
        <x:v>49</x:v>
      </x:c>
      <x:c r="B73" s="120">
        <x:f t="shared" si="2"/>
        <x:v>5</x:v>
      </x:c>
      <x:c r="C73" s="120">
        <x:f t="shared" si="3"/>
        <x:v>242.5</x:v>
      </x:c>
      <x:c r="D73" s="124">
        <x:f t="shared" si="4"/>
        <x:v>-3.3253311258278151E-3</x:v>
      </x:c>
      <x:c r="E73" s="120">
        <x:f t="shared" si="5"/>
        <x:v>0</x:v>
      </x:c>
      <x:c r="F73" s="120">
        <x:f t="shared" si="6"/>
        <x:v>-8.5</x:v>
      </x:c>
      <x:c r="G73" s="120">
        <x:f t="shared" si="7"/>
        <x:v>-8.5</x:v>
      </x:c>
      <x:c r="H73" s="120">
        <x:f t="shared" si="8"/>
        <x:v>-14.875</x:v>
      </x:c>
      <x:c r="I73" s="125">
        <x:f t="shared" si="9"/>
        <x:v>-118.14705882352942</x:v>
      </x:c>
      <x:c r="J73" s="125">
        <x:f t="shared" si="10"/>
        <x:v>1.7574375000000002</x:v>
      </x:c>
    </x:row>
    <x:row r="74">
      <x:c r="A74" s="120">
        <x:f t="shared" si="1"/>
        <x:v>50</x:v>
      </x:c>
      <x:c r="B74" s="120">
        <x:f t="shared" si="2"/>
        <x:v>5</x:v>
      </x:c>
      <x:c r="C74" s="120">
        <x:f t="shared" si="3"/>
        <x:v>247.5</x:v>
      </x:c>
      <x:c r="D74" s="124">
        <x:f t="shared" si="4"/>
        <x:v>-3.4660596026490072E-3</x:v>
      </x:c>
      <x:c r="E74" s="120">
        <x:f t="shared" si="5"/>
        <x:v>0</x:v>
      </x:c>
      <x:c r="F74" s="120">
        <x:f t="shared" si="6"/>
        <x:v>-8.5</x:v>
      </x:c>
      <x:c r="G74" s="120">
        <x:f t="shared" si="7"/>
        <x:v>-8.5</x:v>
      </x:c>
      <x:c r="H74" s="120">
        <x:f t="shared" si="8"/>
        <x:v>-14.875</x:v>
      </x:c>
      <x:c r="I74" s="125">
        <x:f t="shared" si="9"/>
        <x:v>-123.14705882352942</x:v>
      </x:c>
      <x:c r="J74" s="125">
        <x:f t="shared" si="10"/>
        <x:v>1.8318125000000003</x:v>
      </x:c>
    </x:row>
    <x:row r="75">
      <x:c r="A75" s="120">
        <x:f t="shared" si="1"/>
        <x:v>51</x:v>
      </x:c>
      <x:c r="B75" s="120">
        <x:f t="shared" si="2"/>
        <x:v>5</x:v>
      </x:c>
      <x:c r="C75" s="120">
        <x:f t="shared" si="3"/>
        <x:v>252.5</x:v>
      </x:c>
      <x:c r="D75" s="124">
        <x:f t="shared" si="4"/>
        <x:v>-3.6067880794701992E-3</x:v>
      </x:c>
      <x:c r="E75" s="120">
        <x:f t="shared" si="5"/>
        <x:v>0</x:v>
      </x:c>
      <x:c r="F75" s="120">
        <x:f t="shared" si="6"/>
        <x:v>-8.5</x:v>
      </x:c>
      <x:c r="G75" s="120">
        <x:f t="shared" si="7"/>
        <x:v>-8.5</x:v>
      </x:c>
      <x:c r="H75" s="120">
        <x:f t="shared" si="8"/>
        <x:v>-14.875</x:v>
      </x:c>
      <x:c r="I75" s="125">
        <x:f t="shared" si="9"/>
        <x:v>-128.14705882352942</x:v>
      </x:c>
      <x:c r="J75" s="125">
        <x:f t="shared" si="10"/>
        <x:v>1.9061875000000001</x:v>
      </x:c>
    </x:row>
    <x:row r="76">
      <x:c r="A76" s="120">
        <x:f t="shared" si="1"/>
        <x:v>52</x:v>
      </x:c>
      <x:c r="B76" s="120">
        <x:f t="shared" si="2"/>
        <x:v>5</x:v>
      </x:c>
      <x:c r="C76" s="120">
        <x:f t="shared" si="3"/>
        <x:v>257.5</x:v>
      </x:c>
      <x:c r="D76" s="124">
        <x:f t="shared" si="4"/>
        <x:v>-3.7475165562913916E-3</x:v>
      </x:c>
      <x:c r="E76" s="120">
        <x:f t="shared" si="5"/>
        <x:v>0</x:v>
      </x:c>
      <x:c r="F76" s="120">
        <x:f t="shared" si="6"/>
        <x:v>-8.5</x:v>
      </x:c>
      <x:c r="G76" s="120">
        <x:f t="shared" si="7"/>
        <x:v>-8.5</x:v>
      </x:c>
      <x:c r="H76" s="120">
        <x:f t="shared" si="8"/>
        <x:v>-14.875</x:v>
      </x:c>
      <x:c r="I76" s="125">
        <x:f t="shared" si="9"/>
        <x:v>-133.14705882352942</x:v>
      </x:c>
      <x:c r="J76" s="125">
        <x:f t="shared" si="10"/>
        <x:v>1.9805625000000002</x:v>
      </x:c>
    </x:row>
    <x:row r="77">
      <x:c r="A77" s="120">
        <x:f t="shared" si="1"/>
        <x:v>53</x:v>
      </x:c>
      <x:c r="B77" s="120">
        <x:f t="shared" si="2"/>
        <x:v>5</x:v>
      </x:c>
      <x:c r="C77" s="120">
        <x:f t="shared" si="3"/>
        <x:v>262.5</x:v>
      </x:c>
      <x:c r="D77" s="124">
        <x:f t="shared" si="4"/>
        <x:v>-3.8882450331125832E-3</x:v>
      </x:c>
      <x:c r="E77" s="120">
        <x:f t="shared" si="5"/>
        <x:v>0</x:v>
      </x:c>
      <x:c r="F77" s="120">
        <x:f t="shared" si="6"/>
        <x:v>-8.5</x:v>
      </x:c>
      <x:c r="G77" s="120">
        <x:f t="shared" si="7"/>
        <x:v>-8.5</x:v>
      </x:c>
      <x:c r="H77" s="120">
        <x:f t="shared" si="8"/>
        <x:v>-14.875</x:v>
      </x:c>
      <x:c r="I77" s="125">
        <x:f t="shared" si="9"/>
        <x:v>-138.14705882352942</x:v>
      </x:c>
      <x:c r="J77" s="125">
        <x:f t="shared" si="10"/>
        <x:v>2.0549374999999999</x:v>
      </x:c>
    </x:row>
    <x:row r="78">
      <x:c r="A78" s="120">
        <x:f t="shared" si="1"/>
        <x:v>54</x:v>
      </x:c>
      <x:c r="B78" s="120">
        <x:f t="shared" si="2"/>
        <x:v>5</x:v>
      </x:c>
      <x:c r="C78" s="120">
        <x:f t="shared" si="3"/>
        <x:v>267.5</x:v>
      </x:c>
      <x:c r="D78" s="124">
        <x:f t="shared" si="4"/>
        <x:v>-4.0289735099337757E-3</x:v>
      </x:c>
      <x:c r="E78" s="120">
        <x:f t="shared" si="5"/>
        <x:v>0</x:v>
      </x:c>
      <x:c r="F78" s="120">
        <x:f t="shared" si="6"/>
        <x:v>-8.5</x:v>
      </x:c>
      <x:c r="G78" s="120">
        <x:f t="shared" si="7"/>
        <x:v>-8.5</x:v>
      </x:c>
      <x:c r="H78" s="120">
        <x:f t="shared" si="8"/>
        <x:v>-14.875</x:v>
      </x:c>
      <x:c r="I78" s="125">
        <x:f t="shared" si="9"/>
        <x:v>-143.14705882352942</x:v>
      </x:c>
      <x:c r="J78" s="125">
        <x:f t="shared" si="10"/>
        <x:v>2.1293125000000002</x:v>
      </x:c>
    </x:row>
    <x:row r="79">
      <x:c r="A79" s="120">
        <x:f t="shared" si="1"/>
        <x:v>55</x:v>
      </x:c>
      <x:c r="B79" s="120">
        <x:f t="shared" si="2"/>
        <x:v>5</x:v>
      </x:c>
      <x:c r="C79" s="120">
        <x:f t="shared" si="3"/>
        <x:v>272.5</x:v>
      </x:c>
      <x:c r="D79" s="124">
        <x:f t="shared" si="4"/>
        <x:v>-4.1697019867549673E-3</x:v>
      </x:c>
      <x:c r="E79" s="120">
        <x:f t="shared" si="5"/>
        <x:v>0</x:v>
      </x:c>
      <x:c r="F79" s="120">
        <x:f t="shared" si="6"/>
        <x:v>-8.5</x:v>
      </x:c>
      <x:c r="G79" s="120">
        <x:f t="shared" si="7"/>
        <x:v>-8.5</x:v>
      </x:c>
      <x:c r="H79" s="120">
        <x:f t="shared" si="8"/>
        <x:v>-14.875</x:v>
      </x:c>
      <x:c r="I79" s="125">
        <x:f t="shared" si="9"/>
        <x:v>-148.14705882352942</x:v>
      </x:c>
      <x:c r="J79" s="125">
        <x:f t="shared" si="10"/>
        <x:v>2.2036875</x:v>
      </x:c>
    </x:row>
    <x:row r="80">
      <x:c r="A80" s="120">
        <x:f t="shared" si="1"/>
        <x:v>56</x:v>
      </x:c>
      <x:c r="B80" s="120">
        <x:f t="shared" si="2"/>
        <x:v>5</x:v>
      </x:c>
      <x:c r="C80" s="120">
        <x:f t="shared" si="3"/>
        <x:v>277.5</x:v>
      </x:c>
      <x:c r="D80" s="124">
        <x:f t="shared" si="4"/>
        <x:v>-4.3104304635761597E-3</x:v>
      </x:c>
      <x:c r="E80" s="120">
        <x:f t="shared" si="5"/>
        <x:v>0</x:v>
      </x:c>
      <x:c r="F80" s="120">
        <x:f t="shared" si="6"/>
        <x:v>-8.5</x:v>
      </x:c>
      <x:c r="G80" s="120">
        <x:f t="shared" si="7"/>
        <x:v>-8.5</x:v>
      </x:c>
      <x:c r="H80" s="120">
        <x:f t="shared" si="8"/>
        <x:v>-14.875</x:v>
      </x:c>
      <x:c r="I80" s="125">
        <x:f t="shared" si="9"/>
        <x:v>-153.14705882352942</x:v>
      </x:c>
      <x:c r="J80" s="125">
        <x:f t="shared" si="10"/>
        <x:v>2.2780624999999999</x:v>
      </x:c>
    </x:row>
    <x:row r="81">
      <x:c r="A81" s="120">
        <x:f t="shared" si="1"/>
        <x:v>57</x:v>
      </x:c>
      <x:c r="B81" s="120">
        <x:f t="shared" si="2"/>
        <x:v>5</x:v>
      </x:c>
      <x:c r="C81" s="120">
        <x:f t="shared" si="3"/>
        <x:v>282.5</x:v>
      </x:c>
      <x:c r="D81" s="124">
        <x:f t="shared" si="4"/>
        <x:v>-4.4511589403973513E-3</x:v>
      </x:c>
      <x:c r="E81" s="120">
        <x:f t="shared" si="5"/>
        <x:v>0</x:v>
      </x:c>
      <x:c r="F81" s="120">
        <x:f t="shared" si="6"/>
        <x:v>-8.5</x:v>
      </x:c>
      <x:c r="G81" s="120">
        <x:f t="shared" si="7"/>
        <x:v>-8.5</x:v>
      </x:c>
      <x:c r="H81" s="120">
        <x:f t="shared" si="8"/>
        <x:v>-14.875</x:v>
      </x:c>
      <x:c r="I81" s="125">
        <x:f t="shared" si="9"/>
        <x:v>-158.14705882352942</x:v>
      </x:c>
      <x:c r="J81" s="125">
        <x:f t="shared" si="10"/>
        <x:v>2.3524375000000002</x:v>
      </x:c>
    </x:row>
    <x:row r="82">
      <x:c r="A82" s="120">
        <x:f t="shared" si="1"/>
        <x:v>58</x:v>
      </x:c>
      <x:c r="B82" s="120">
        <x:f t="shared" si="2"/>
        <x:v>5</x:v>
      </x:c>
      <x:c r="C82" s="120">
        <x:f t="shared" si="3"/>
        <x:v>287.5</x:v>
      </x:c>
      <x:c r="D82" s="124">
        <x:f t="shared" si="4"/>
        <x:v>-4.5918874172185438E-3</x:v>
      </x:c>
      <x:c r="E82" s="120">
        <x:f t="shared" si="5"/>
        <x:v>0</x:v>
      </x:c>
      <x:c r="F82" s="120">
        <x:f t="shared" si="6"/>
        <x:v>0</x:v>
      </x:c>
      <x:c r="G82" s="120">
        <x:f t="shared" si="7"/>
        <x:v>0</x:v>
      </x:c>
      <x:c r="H82" s="120">
        <x:f t="shared" si="8"/>
        <x:v>0</x:v>
      </x:c>
      <x:c r="I82" s="125">
        <x:f t="shared" si="9"/>
        <x:v>-163.14705882352942</x:v>
      </x:c>
      <x:c r="J82" s="125">
        <x:f t="shared" si="10"/>
        <x:v>0</x:v>
      </x:c>
    </x:row>
    <x:row r="83">
      <x:c r="A83" s="120">
        <x:f t="shared" si="1"/>
        <x:v>59</x:v>
      </x:c>
      <x:c r="B83" s="120">
        <x:f t="shared" si="2"/>
        <x:v>5</x:v>
      </x:c>
      <x:c r="C83" s="120">
        <x:f t="shared" si="3"/>
        <x:v>292.5</x:v>
      </x:c>
      <x:c r="D83" s="124">
        <x:f t="shared" si="4"/>
        <x:v>-4.7326158940397363E-3</x:v>
      </x:c>
      <x:c r="E83" s="120">
        <x:f t="shared" si="5"/>
        <x:v>0</x:v>
      </x:c>
      <x:c r="F83" s="120">
        <x:f t="shared" si="6"/>
        <x:v>0</x:v>
      </x:c>
      <x:c r="G83" s="120">
        <x:f t="shared" si="7"/>
        <x:v>0</x:v>
      </x:c>
      <x:c r="H83" s="120">
        <x:f t="shared" si="8"/>
        <x:v>0</x:v>
      </x:c>
      <x:c r="I83" s="125">
        <x:f t="shared" si="9"/>
        <x:v>-168.14705882352942</x:v>
      </x:c>
      <x:c r="J83" s="125">
        <x:f t="shared" si="10"/>
        <x:v>0</x:v>
      </x:c>
    </x:row>
    <x:row r="84">
      <x:c r="A84" s="120">
        <x:f t="shared" si="1"/>
        <x:v>60</x:v>
      </x:c>
      <x:c r="B84" s="120">
        <x:f t="shared" si="2"/>
        <x:v>5</x:v>
      </x:c>
      <x:c r="C84" s="120">
        <x:f t="shared" si="3"/>
        <x:v>297.5</x:v>
      </x:c>
      <x:c r="D84" s="124">
        <x:f t="shared" si="4"/>
        <x:v>-4.8733443708609278E-3</x:v>
      </x:c>
      <x:c r="E84" s="120">
        <x:f t="shared" si="5"/>
        <x:v>0</x:v>
      </x:c>
      <x:c r="F84" s="120">
        <x:f t="shared" si="6"/>
        <x:v>0</x:v>
      </x:c>
      <x:c r="G84" s="120">
        <x:f t="shared" si="7"/>
        <x:v>0</x:v>
      </x:c>
      <x:c r="H84" s="120">
        <x:f t="shared" si="8"/>
        <x:v>0</x:v>
      </x:c>
      <x:c r="I84" s="125">
        <x:f t="shared" si="9"/>
        <x:v>-173.14705882352942</x:v>
      </x:c>
      <x:c r="J84" s="125">
        <x:f t="shared" si="10"/>
        <x:v>0</x:v>
      </x:c>
    </x:row>
    <x:row r="85">
      <x:c r="A85" s="120">
        <x:f t="shared" si="1"/>
        <x:v>61</x:v>
      </x:c>
      <x:c r="B85" s="120">
        <x:f t="shared" si="2"/>
        <x:v>5</x:v>
      </x:c>
      <x:c r="C85" s="120">
        <x:f t="shared" si="3"/>
        <x:v>302.5</x:v>
      </x:c>
      <x:c r="D85" s="124">
        <x:f t="shared" si="4"/>
        <x:v>-5.0140728476821203E-3</x:v>
      </x:c>
      <x:c r="E85" s="120">
        <x:f t="shared" si="5"/>
        <x:v>0</x:v>
      </x:c>
      <x:c r="F85" s="120">
        <x:f t="shared" si="6"/>
        <x:v>0</x:v>
      </x:c>
      <x:c r="G85" s="120">
        <x:f t="shared" si="7"/>
        <x:v>0</x:v>
      </x:c>
      <x:c r="H85" s="120">
        <x:f t="shared" si="8"/>
        <x:v>0</x:v>
      </x:c>
      <x:c r="I85" s="125">
        <x:f t="shared" si="9"/>
        <x:v>-178.14705882352942</x:v>
      </x:c>
      <x:c r="J85" s="125">
        <x:f t="shared" si="10"/>
        <x:v>0</x:v>
      </x:c>
    </x:row>
    <x:row r="86">
      <x:c r="A86" s="120">
        <x:f t="shared" si="1"/>
        <x:v>62</x:v>
      </x:c>
      <x:c r="B86" s="120">
        <x:f t="shared" si="2"/>
        <x:v>5</x:v>
      </x:c>
      <x:c r="C86" s="120">
        <x:f t="shared" si="3"/>
        <x:v>307.5</x:v>
      </x:c>
      <x:c r="D86" s="124">
        <x:f t="shared" si="4"/>
        <x:v>-5.1548013245033119E-3</x:v>
      </x:c>
      <x:c r="E86" s="120">
        <x:f t="shared" si="5"/>
        <x:v>0</x:v>
      </x:c>
      <x:c r="F86" s="120">
        <x:f t="shared" si="6"/>
        <x:v>0</x:v>
      </x:c>
      <x:c r="G86" s="120">
        <x:f t="shared" si="7"/>
        <x:v>0</x:v>
      </x:c>
      <x:c r="H86" s="120">
        <x:f t="shared" si="8"/>
        <x:v>0</x:v>
      </x:c>
      <x:c r="I86" s="125">
        <x:f t="shared" si="9"/>
        <x:v>-183.14705882352942</x:v>
      </x:c>
      <x:c r="J86" s="125">
        <x:f t="shared" si="10"/>
        <x:v>0</x:v>
      </x:c>
    </x:row>
    <x:row r="87">
      <x:c r="A87" s="120">
        <x:f t="shared" si="1"/>
        <x:v>63</x:v>
      </x:c>
      <x:c r="B87" s="120">
        <x:f t="shared" si="2"/>
        <x:v>5</x:v>
      </x:c>
      <x:c r="C87" s="120">
        <x:f t="shared" si="3"/>
        <x:v>312.5</x:v>
      </x:c>
      <x:c r="D87" s="124">
        <x:f t="shared" si="4"/>
        <x:v>-5.2955298013245035E-3</x:v>
      </x:c>
      <x:c r="E87" s="120">
        <x:f t="shared" si="5"/>
        <x:v>0</x:v>
      </x:c>
      <x:c r="F87" s="120">
        <x:f t="shared" si="6"/>
        <x:v>0</x:v>
      </x:c>
      <x:c r="G87" s="120">
        <x:f t="shared" si="7"/>
        <x:v>0</x:v>
      </x:c>
      <x:c r="H87" s="120">
        <x:f t="shared" si="8"/>
        <x:v>0</x:v>
      </x:c>
      <x:c r="I87" s="125">
        <x:f t="shared" si="9"/>
        <x:v>-188.14705882352942</x:v>
      </x:c>
      <x:c r="J87" s="125">
        <x:f t="shared" si="10"/>
        <x:v>0</x:v>
      </x:c>
    </x:row>
    <x:row r="88">
      <x:c r="A88" s="120">
        <x:f t="shared" si="1"/>
        <x:v>64</x:v>
      </x:c>
      <x:c r="B88" s="120">
        <x:f t="shared" si="2"/>
        <x:v>5</x:v>
      </x:c>
      <x:c r="C88" s="120">
        <x:f t="shared" si="3"/>
        <x:v>317.5</x:v>
      </x:c>
      <x:c r="D88" s="124">
        <x:f t="shared" si="4"/>
        <x:v>-5.4362582781456959E-3</x:v>
      </x:c>
      <x:c r="E88" s="120">
        <x:f t="shared" si="5"/>
        <x:v>0</x:v>
      </x:c>
      <x:c r="F88" s="120">
        <x:f t="shared" si="6"/>
        <x:v>0</x:v>
      </x:c>
      <x:c r="G88" s="120">
        <x:f t="shared" si="7"/>
        <x:v>0</x:v>
      </x:c>
      <x:c r="H88" s="120">
        <x:f t="shared" si="8"/>
        <x:v>0</x:v>
      </x:c>
      <x:c r="I88" s="125">
        <x:f t="shared" si="9"/>
        <x:v>-193.14705882352942</x:v>
      </x:c>
      <x:c r="J88" s="125">
        <x:f t="shared" si="10"/>
        <x:v>0</x:v>
      </x:c>
    </x:row>
    <x:row r="89">
      <x:c r="A89" s="120">
        <x:f t="shared" si="1"/>
        <x:v>65</x:v>
      </x:c>
      <x:c r="B89" s="120">
        <x:f t="shared" si="2"/>
        <x:v>5</x:v>
      </x:c>
      <x:c r="C89" s="120">
        <x:f t="shared" si="3"/>
        <x:v>322.5</x:v>
      </x:c>
      <x:c r="D89" s="124">
        <x:f t="shared" si="4"/>
        <x:v>-5.5769867549668884E-3</x:v>
      </x:c>
      <x:c r="E89" s="120">
        <x:f t="shared" si="5"/>
        <x:v>0</x:v>
      </x:c>
      <x:c r="F89" s="120">
        <x:f t="shared" si="6"/>
        <x:v>0</x:v>
      </x:c>
      <x:c r="G89" s="120">
        <x:f t="shared" si="7"/>
        <x:v>0</x:v>
      </x:c>
      <x:c r="H89" s="120">
        <x:f t="shared" si="8"/>
        <x:v>0</x:v>
      </x:c>
      <x:c r="I89" s="125">
        <x:f t="shared" si="9"/>
        <x:v>-198.14705882352942</x:v>
      </x:c>
      <x:c r="J89" s="125">
        <x:f t="shared" si="10"/>
        <x:v>0</x:v>
      </x:c>
    </x:row>
    <x:row r="90">
      <x:c r="A90" s="120">
        <x:f t="shared" si="1"/>
        <x:v>66</x:v>
      </x:c>
      <x:c r="B90" s="120">
        <x:f t="shared" si="2"/>
        <x:v>5</x:v>
      </x:c>
      <x:c r="C90" s="120">
        <x:f t="shared" si="3"/>
        <x:v>327.5</x:v>
      </x:c>
      <x:c r="D90" s="124">
        <x:f t="shared" si="4"/>
        <x:v>-5.71771523178808E-3</x:v>
      </x:c>
      <x:c r="E90" s="120">
        <x:f t="shared" si="5"/>
        <x:v>0</x:v>
      </x:c>
      <x:c r="F90" s="120">
        <x:f t="shared" si="6"/>
        <x:v>0</x:v>
      </x:c>
      <x:c r="G90" s="120">
        <x:f t="shared" si="7"/>
        <x:v>0</x:v>
      </x:c>
      <x:c r="H90" s="120">
        <x:f t="shared" si="8"/>
        <x:v>0</x:v>
      </x:c>
      <x:c r="I90" s="125">
        <x:f t="shared" si="9"/>
        <x:v>-203.14705882352942</x:v>
      </x:c>
      <x:c r="J90" s="125">
        <x:f t="shared" si="10"/>
        <x:v>0</x:v>
      </x:c>
    </x:row>
    <x:row r="91">
      <x:c r="A91" s="120">
        <x:f t="shared" si="1"/>
        <x:v>67</x:v>
      </x:c>
      <x:c r="B91" s="120">
        <x:f t="shared" si="2"/>
        <x:v>5</x:v>
      </x:c>
      <x:c r="C91" s="120">
        <x:f t="shared" si="3"/>
        <x:v>332.5</x:v>
      </x:c>
      <x:c r="D91" s="124">
        <x:f t="shared" si="4"/>
        <x:v>-5.8584437086092725E-3</x:v>
      </x:c>
      <x:c r="E91" s="120">
        <x:f t="shared" si="5"/>
        <x:v>0</x:v>
      </x:c>
      <x:c r="F91" s="120">
        <x:f t="shared" si="6"/>
        <x:v>0</x:v>
      </x:c>
      <x:c r="G91" s="120">
        <x:f t="shared" si="7"/>
        <x:v>0</x:v>
      </x:c>
      <x:c r="H91" s="120">
        <x:f t="shared" si="8"/>
        <x:v>0</x:v>
      </x:c>
      <x:c r="I91" s="125">
        <x:f t="shared" si="9"/>
        <x:v>-208.14705882352942</x:v>
      </x:c>
      <x:c r="J91" s="125">
        <x:f t="shared" si="10"/>
        <x:v>0</x:v>
      </x:c>
    </x:row>
    <x:row r="92">
      <x:c r="A92" s="120">
        <x:f t="shared" si="1"/>
        <x:v>68</x:v>
      </x:c>
      <x:c r="B92" s="120">
        <x:f t="shared" si="2"/>
        <x:v>5</x:v>
      </x:c>
      <x:c r="C92" s="120">
        <x:f t="shared" si="3"/>
        <x:v>337.5</x:v>
      </x:c>
      <x:c r="D92" s="124">
        <x:f t="shared" si="4"/>
        <x:v>-5.9991721854304641E-3</x:v>
      </x:c>
      <x:c r="E92" s="120">
        <x:f t="shared" si="5"/>
        <x:v>0</x:v>
      </x:c>
      <x:c r="F92" s="120">
        <x:f t="shared" si="6"/>
        <x:v>0</x:v>
      </x:c>
      <x:c r="G92" s="120">
        <x:f t="shared" si="7"/>
        <x:v>0</x:v>
      </x:c>
      <x:c r="H92" s="120">
        <x:f t="shared" si="8"/>
        <x:v>0</x:v>
      </x:c>
      <x:c r="I92" s="125">
        <x:f t="shared" si="9"/>
        <x:v>-213.14705882352942</x:v>
      </x:c>
      <x:c r="J92" s="125">
        <x:f t="shared" si="10"/>
        <x:v>0</x:v>
      </x:c>
    </x:row>
    <x:row r="93">
      <x:c r="A93" s="120">
        <x:f t="shared" si="1"/>
        <x:v>69</x:v>
      </x:c>
      <x:c r="B93" s="120">
        <x:f t="shared" si="2"/>
        <x:v>5</x:v>
      </x:c>
      <x:c r="C93" s="120">
        <x:f t="shared" si="3"/>
        <x:v>342.5</x:v>
      </x:c>
      <x:c r="D93" s="124">
        <x:f t="shared" si="4"/>
        <x:v>-6.1399006622516565E-3</x:v>
      </x:c>
      <x:c r="E93" s="120">
        <x:f t="shared" si="5"/>
        <x:v>0</x:v>
      </x:c>
      <x:c r="F93" s="120">
        <x:f t="shared" si="6"/>
        <x:v>0</x:v>
      </x:c>
      <x:c r="G93" s="120">
        <x:f t="shared" si="7"/>
        <x:v>0</x:v>
      </x:c>
      <x:c r="H93" s="120">
        <x:f t="shared" si="8"/>
        <x:v>0</x:v>
      </x:c>
      <x:c r="I93" s="125">
        <x:f t="shared" si="9"/>
        <x:v>-218.14705882352942</x:v>
      </x:c>
      <x:c r="J93" s="125">
        <x:f t="shared" si="10"/>
        <x:v>0</x:v>
      </x:c>
    </x:row>
    <x:row r="94">
      <x:c r="A94" s="103">
        <x:f t="shared" si="1"/>
        <x:v>70</x:v>
      </x:c>
      <x:c r="B94" s="103">
        <x:f t="shared" si="2"/>
        <x:v>5</x:v>
      </x:c>
      <x:c r="C94" s="103">
        <x:f t="shared" si="3"/>
        <x:v>347.5</x:v>
      </x:c>
      <x:c r="D94" s="134">
        <x:f t="shared" si="4"/>
        <x:v>-6.280629139072849E-3</x:v>
      </x:c>
      <x:c r="E94" s="103">
        <x:f t="shared" si="5"/>
        <x:v>0</x:v>
      </x:c>
      <x:c r="F94" s="103">
        <x:f t="shared" si="6"/>
        <x:v>0</x:v>
      </x:c>
      <x:c r="G94" s="103">
        <x:f t="shared" si="7"/>
        <x:v>0</x:v>
      </x:c>
      <x:c r="H94" s="103">
        <x:f t="shared" si="8"/>
        <x:v>0</x:v>
      </x:c>
      <x:c r="I94" s="135">
        <x:f t="shared" si="9"/>
        <x:v>-223.14705882352942</x:v>
      </x:c>
      <x:c r="J94" s="135">
        <x:f t="shared" si="10"/>
        <x:v>0</x:v>
      </x:c>
    </x:row>
    <x:row r="95">
      <x:c r="D95" s="136"/>
    </x:row>
  </x:sheetData>
  <x:mergeCells>
    <x:mergeCell ref="F14:G14"/>
    <x:mergeCell ref="A15:B15"/>
    <x:mergeCell ref="A1:G1"/>
    <x:mergeCell ref="A2:B2"/>
    <x:mergeCell ref="C2:D2"/>
    <x:mergeCell ref="A6:B6"/>
    <x:mergeCell ref="F6:H6"/>
    <x:mergeCell ref="F7:G7"/>
    <x:mergeCell ref="F8:G8"/>
    <x:mergeCell ref="F9:G9"/>
    <x:mergeCell ref="F10:G10"/>
    <x:mergeCell ref="F11:G11"/>
    <x:mergeCell ref="F12:G12"/>
    <x:mergeCell ref="F13:G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2.5703125" defaultRowHeight="15.75"/>
  <x:cols>
    <x:col min="10" max="10" width="16.7109375" customWidth="1"/>
    <x:col min="20" max="20" width="16.28515625" customWidth="1"/>
  </x:cols>
  <x:sheetData>
    <x:row r="1">
      <x:c r="A1" s="144" t="s">
        <x:v>0</x:v>
      </x:c>
      <x:c r="B1" s="145"/>
      <x:c r="C1" s="145"/>
      <x:c r="D1" s="145"/>
      <x:c r="E1" s="145"/>
      <x:c r="F1" s="145"/>
      <x:c r="G1" s="146"/>
    </x:row>
    <x:row r="2">
      <x:c r="A2" s="147" t="s">
        <x:v>1</x:v>
      </x:c>
      <x:c r="B2" s="146"/>
      <x:c r="C2" s="147" t="s">
        <x:v>2</x:v>
      </x:c>
      <x:c r="D2" s="156"/>
      <x:c r="E2" s="100" t="s">
        <x:v>104</x:v>
      </x:c>
      <x:c r="F2" s="101" t="s">
        <x:v>105</x:v>
      </x:c>
      <x:c r="G2" s="102" t="s">
        <x:v>27</x:v>
      </x:c>
    </x:row>
    <x:row r="3">
      <x:c r="A3" s="4" t="s">
        <x:v>3</x:v>
      </x:c>
      <x:c r="B3" s="5">
        <x:v>350</x:v>
      </x:c>
      <x:c r="C3" s="73" t="s">
        <x:v>4</x:v>
      </x:c>
      <x:c r="D3" s="74">
        <x:v>420</x:v>
      </x:c>
      <x:c r="E3" s="103" t="s">
        <x:v>106</x:v>
      </x:c>
      <x:c r="F3" s="104" t="s">
        <x:v>107</x:v>
      </x:c>
      <x:c r="G3" s="105">
        <x:v>38.146141352017203</x:v>
      </x:c>
    </x:row>
    <x:row r="4">
      <x:c r="A4" s="13" t="s">
        <x:v>7</x:v>
      </x:c>
      <x:c r="B4" s="14">
        <x:v>350</x:v>
      </x:c>
      <x:c r="C4" s="6" t="s">
        <x:v>8</x:v>
      </x:c>
      <x:c r="D4" s="7">
        <x:v>210</x:v>
      </x:c>
      <x:c r="E4" s="106" t="s">
        <x:v>108</x:v>
      </x:c>
      <x:c r="F4" s="107" t="s">
        <x:v>109</x:v>
      </x:c>
      <x:c r="G4" s="108">
        <x:v>5</x:v>
      </x:c>
    </x:row>
    <x:row r="5">
      <x:c r="A5" s="3" t="s">
        <x:v>12</x:v>
      </x:c>
      <x:c r="B5" s="19">
        <x:v>30</x:v>
      </x:c>
      <x:c r="C5" s="6" t="s">
        <x:v>13</x:v>
      </x:c>
      <x:c r="D5" s="20" t="n">
        <x:f>(D3)/(D4*1000)</x:f>
        <x:v>0.002</x:v>
      </x:c>
    </x:row>
    <x:row r="6">
      <x:c r="A6" s="147" t="s">
        <x:v>17</x:v>
      </x:c>
      <x:c r="B6" s="146"/>
      <x:c r="C6" s="6" t="s">
        <x:v>18</x:v>
      </x:c>
      <x:c r="D6" s="7">
        <x:v>4</x:v>
      </x:c>
      <x:c r="F6" s="158" t="s">
        <x:v>60</x:v>
      </x:c>
      <x:c r="G6" s="145"/>
      <x:c r="H6" s="146"/>
    </x:row>
    <x:row r="7">
      <x:c r="A7" s="4" t="s">
        <x:v>21</x:v>
      </x:c>
      <x:c r="B7" s="25">
        <x:v>130</x:v>
      </x:c>
      <x:c r="C7" s="6" t="s">
        <x:v>22</x:v>
      </x:c>
      <x:c r="D7" s="7">
        <x:v>2</x:v>
      </x:c>
      <x:c r="F7" s="159" t="s">
        <x:v>91</x:v>
      </x:c>
      <x:c r="G7" s="160"/>
      <x:c r="H7" s="109" t="n">
        <x:f>SUMIF(H25:H94,"&gt;0",H25:H94)</x:f>
        <x:v>962.1409231822312</x:v>
      </x:c>
    </x:row>
    <x:row r="8">
      <x:c r="A8" s="4" t="s">
        <x:v>96</x:v>
      </x:c>
      <x:c r="B8" s="77">
        <x:v>8.5</x:v>
      </x:c>
      <x:c r="C8" s="6" t="s">
        <x:v>26</x:v>
      </x:c>
      <x:c r="D8" s="7">
        <x:v>2</x:v>
      </x:c>
      <x:c r="F8" s="157" t="s">
        <x:v>92</x:v>
      </x:c>
      <x:c r="G8" s="141"/>
      <x:c r="H8" s="110" t="n">
        <x:f>SUMIF(H25:H94,"&lt;0",H25:H94)</x:f>
        <x:v>-133.875</x:v>
      </x:c>
    </x:row>
    <x:row r="9">
      <x:c r="A9" s="13" t="s">
        <x:v>97</x:v>
      </x:c>
      <x:c r="B9" s="6" t="n">
        <x:f>9115*1*(B7)^0.33</x:f>
        <x:v>45431.594485129375</x:v>
      </x:c>
      <x:c r="C9" s="6" t="s">
        <x:v>30</x:v>
      </x:c>
      <x:c r="D9" s="7">
        <x:v>4</x:v>
      </x:c>
      <x:c r="F9" s="157" t="s">
        <x:v>93</x:v>
      </x:c>
      <x:c r="G9" s="141"/>
      <x:c r="H9" s="111" t="n">
        <x:f>SUM(R25:R28)</x:f>
        <x:v>-828.2659234191963</x:v>
      </x:c>
    </x:row>
    <x:row r="10">
      <x:c r="A10" s="13" t="s">
        <x:v>98</x:v>
      </x:c>
      <x:c r="B10" s="78">
        <x:v>0.85</x:v>
      </x:c>
      <x:c r="C10" s="6" t="s">
        <x:v>36</x:v>
      </x:c>
      <x:c r="D10" s="7">
        <x:v>16</x:v>
      </x:c>
      <x:c r="F10" s="157" t="s">
        <x:v>94</x:v>
      </x:c>
      <x:c r="G10" s="141"/>
      <x:c r="H10" s="137" t="n">
        <x:f>H7+H8+H9</x:f>
        <x:v>-2.3696509288129164e-7</x:v>
      </x:c>
    </x:row>
    <x:row r="11">
      <x:c r="A11" s="3" t="s">
        <x:v>33</x:v>
      </x:c>
      <x:c r="B11" s="79">
        <x:v>3.5000000000000001E-3</x:v>
      </x:c>
      <x:c r="C11" s="6" t="s">
        <x:v>39</x:v>
      </x:c>
      <x:c r="D11" s="7">
        <x:v>16</x:v>
      </x:c>
      <x:c r="F11" s="157" t="s">
        <x:v>110</x:v>
      </x:c>
      <x:c r="G11" s="141"/>
      <x:c r="H11" s="112" t="n">
        <x:f>SUM(J25:J94)</x:f>
        <x:v>26.835288911139262</x:v>
      </x:c>
    </x:row>
    <x:row r="12">
      <x:c r="A12" s="3" t="s">
        <x:v>100</x:v>
      </x:c>
      <x:c r="B12" s="79">
        <x:v>4.4999999999999997E-3</x:v>
      </x:c>
      <x:c r="C12" s="6" t="s">
        <x:v>42</x:v>
      </x:c>
      <x:c r="D12" s="7">
        <x:v>16</x:v>
      </x:c>
      <x:c r="F12" s="157" t="s">
        <x:v>111</x:v>
      </x:c>
      <x:c r="G12" s="141"/>
      <x:c r="H12" s="111" t="n">
        <x:f>SUM(T25:T28)</x:f>
        <x:v>136.85733537773802</x:v>
      </x:c>
    </x:row>
    <x:row r="13">
      <x:c r="A13" s="3" t="s">
        <x:v>101</x:v>
      </x:c>
      <x:c r="B13" s="80" t="n">
        <x:f>B10*B7/B9</x:f>
        <x:v>0.0024322280838320292</x:v>
      </x:c>
      <x:c r="C13" s="6" t="s">
        <x:v>45</x:v>
      </x:c>
      <x:c r="D13" s="7">
        <x:v>16</x:v>
      </x:c>
      <x:c r="F13" s="157" t="s">
        <x:v>112</x:v>
      </x:c>
      <x:c r="G13" s="141"/>
      <x:c r="H13" s="112" t="n">
        <x:f>H11+H12</x:f>
        <x:v>163.69262428887728</x:v>
      </x:c>
    </x:row>
    <x:row r="14">
      <x:c r="A14" s="3" t="s">
        <x:v>102</x:v>
      </x:c>
      <x:c r="B14" s="81" t="n">
        <x:f>B8/B9</x:f>
        <x:v>0.00018709446798707916</x:v>
      </x:c>
      <x:c r="C14" s="6" t="s">
        <x:v>51</x:v>
      </x:c>
      <x:c r="D14" s="34" t="n">
        <x:f>B5+10+D10/2</x:f>
        <x:v>48</x:v>
      </x:c>
      <x:c r="F14" s="157" t="s">
        <x:v>95</x:v>
      </x:c>
      <x:c r="G14" s="141"/>
      <x:c r="H14" s="112" t="n">
        <x:f>H13+H10*($B$4/2-$G$3)/1000</x:f>
        <x:v>163.6926242564477</x:v>
      </x:c>
    </x:row>
    <x:row r="15">
      <x:c r="A15" s="147" t="s">
        <x:v>35</x:v>
      </x:c>
      <x:c r="B15" s="146"/>
      <x:c r="C15" s="33" t="s">
        <x:v>54</x:v>
      </x:c>
      <x:c r="D15" s="34" t="n">
        <x:f>D14+((D17-D14)/3)</x:f>
        <x:v>132.66666666666669</x:v>
      </x:c>
    </x:row>
    <x:row r="16">
      <x:c r="A16" s="73" t="s">
        <x:v>38</x:v>
      </x:c>
      <x:c r="B16" s="82" t="n">
        <x:f>B4*B3</x:f>
        <x:v>122500</x:v>
      </x:c>
      <x:c r="C16" s="6" t="s">
        <x:v>56</x:v>
      </x:c>
      <x:c r="D16" s="34" t="n">
        <x:f>D14+(2*(D17-D14)/3)</x:f>
        <x:v>217.33333333333334</x:v>
      </x:c>
    </x:row>
    <x:row r="17">
      <x:c r="A17" s="6" t="s">
        <x:v>41</x:v>
      </x:c>
      <x:c r="B17" s="33" t="n">
        <x:f t="shared" ref="B17:B20" si="0">(PI()/4)*(D10^2)*D6</x:f>
        <x:v>804.247719318987</x:v>
      </x:c>
      <x:c r="C17" s="6" t="s">
        <x:v>57</x:v>
      </x:c>
      <x:c r="D17" s="34" t="n">
        <x:f>350-B5-10-D13/2</x:f>
        <x:v>302</x:v>
      </x:c>
    </x:row>
    <x:row r="18">
      <x:c r="A18" s="6" t="s">
        <x:v>44</x:v>
      </x:c>
      <x:c r="B18" s="33">
        <x:f t="shared" si="0"/>
        <x:v>402.12385965949352</x:v>
      </x:c>
    </x:row>
    <x:row r="19">
      <x:c r="A19" s="6" t="s">
        <x:v>47</x:v>
      </x:c>
      <x:c r="B19" s="33">
        <x:f t="shared" si="0"/>
        <x:v>402.12385965949352</x:v>
      </x:c>
    </x:row>
    <x:row r="20">
      <x:c r="A20" s="6" t="s">
        <x:v>50</x:v>
      </x:c>
      <x:c r="B20" s="33">
        <x:f t="shared" si="0"/>
        <x:v>804.24771931898704</x:v>
      </x:c>
    </x:row>
    <x:row r="21">
      <x:c r="A21" s="6" t="s">
        <x:v>55</x:v>
      </x:c>
      <x:c r="B21" s="33" t="n">
        <x:f>B17+B18+B19+B20</x:f>
        <x:v>2412.743157956961</x:v>
      </x:c>
    </x:row>
    <x:row r="24">
      <x:c r="A24" s="106" t="s">
        <x:v>113</x:v>
      </x:c>
      <x:c r="B24" s="106" t="s">
        <x:v>109</x:v>
      </x:c>
      <x:c r="C24" s="106" t="s">
        <x:v>114</x:v>
      </x:c>
      <x:c r="D24" s="106" t="s">
        <x:v>115</x:v>
      </x:c>
      <x:c r="E24" s="106" t="s">
        <x:v>116</x:v>
      </x:c>
      <x:c r="F24" s="106" t="s">
        <x:v>117</x:v>
      </x:c>
      <x:c r="G24" s="106" t="s">
        <x:v>118</x:v>
      </x:c>
      <x:c r="H24" s="106" t="s">
        <x:v>119</x:v>
      </x:c>
      <x:c r="I24" s="106" t="s">
        <x:v>120</x:v>
      </x:c>
      <x:c r="J24" s="106" t="s">
        <x:v>110</x:v>
      </x:c>
      <x:c r="L24" s="113" t="s">
        <x:v>121</x:v>
      </x:c>
      <x:c r="M24" s="114" t="s">
        <x:v>122</x:v>
      </x:c>
      <x:c r="N24" s="114" t="s">
        <x:v>123</x:v>
      </x:c>
      <x:c r="O24" s="114" t="s">
        <x:v>74</x:v>
      </x:c>
      <x:c r="P24" s="114" t="s">
        <x:v>124</x:v>
      </x:c>
      <x:c r="Q24" s="114" t="s">
        <x:v>125</x:v>
      </x:c>
      <x:c r="R24" s="114" t="s">
        <x:v>126</x:v>
      </x:c>
      <x:c r="S24" s="114" t="s">
        <x:v>127</x:v>
      </x:c>
      <x:c r="T24" s="115" t="s">
        <x:v>111</x:v>
      </x:c>
    </x:row>
    <x:row r="25">
      <x:c r="A25" s="116" t="n">
        <x:f t="shared" ref="A25:A94" si="1">ROW()-24</x:f>
        <x:v>1</x:v>
      </x:c>
      <x:c r="B25" s="116" t="n">
        <x:f t="shared" ref="B25:B94" si="2">$G$4</x:f>
        <x:v>5</x:v>
      </x:c>
      <x:c r="C25" s="116" t="n">
        <x:f t="shared" ref="C25:C94" si="3">(A25-0.5)*$G$4</x:f>
        <x:v>2.5</x:v>
      </x:c>
      <x:c r="D25" s="117" t="n">
        <x:f t="shared" ref="D25:D94" si="4">$B$11*($G$3-C25)/$G$3</x:f>
        <x:v>0.0032706190012967776</x:v>
      </x:c>
      <x:c r="E25" s="116" t="n">
        <x:f t="shared" ref="E25:E94" si="5">IF(D25&gt;=0,MIN($B$9*D25,$B$10*$B$7),0)</x:f>
        <x:v>110.5</x:v>
      </x:c>
      <x:c r="F25" s="116" t="n">
        <x:f t="shared" ref="F25:F94" si="6">IF(D25&lt;0,IF(ABS(D25)&lt;=$B$12,-MIN($B$9*ABS(D25),$B$8),0),0)</x:f>
        <x:v>0</x:v>
      </x:c>
      <x:c r="G25" s="116" t="n">
        <x:f t="shared" ref="G25:G94" si="7">E25+F25</x:f>
        <x:v>110.5</x:v>
      </x:c>
      <x:c r="H25" s="116" t="n">
        <x:f t="shared" ref="H25:H94" si="8">G25*$B$3*B25/1000</x:f>
        <x:v>193.375</x:v>
      </x:c>
      <x:c r="I25" s="119" t="n">
        <x:f t="shared" ref="I25:I94" si="9">$G$3-C25</x:f>
        <x:v>35.6461413520172</x:v>
      </x:c>
      <x:c r="J25" s="119" t="n">
        <x:f t="shared" ref="J25:J94" si="10">H25*I25/1000</x:f>
        <x:v>6.893072583946327</x:v>
      </x:c>
      <x:c r="L25" s="120" t="n">
        <x:f>1</x:f>
        <x:v>1</x:v>
      </x:c>
      <x:c r="M25" s="121" t="n">
        <x:f t="shared" ref="M25:M28" si="11">D6</x:f>
        <x:v>4</x:v>
      </x:c>
      <x:c r="N25" s="122" t="n">
        <x:f t="shared" ref="N25:N28" si="12">B17</x:f>
        <x:v>804.247719318987</x:v>
      </x:c>
      <x:c r="O25" s="123" t="n">
        <x:f t="shared" ref="O25:O28" si="13">D14</x:f>
        <x:v>48</x:v>
      </x:c>
      <x:c r="P25" s="124" t="n">
        <x:f t="shared" ref="P25:P28" si="14">$B$11*($G$3-O25)/$G$3</x:f>
        <x:v>-0.000904115175101872</x:v>
      </x:c>
      <x:c r="Q25" s="121" t="n">
        <x:f t="shared" ref="Q25:Q28" si="15">MAX(-$D$3,MIN($D$3,$D$4*1000*P25))</x:f>
        <x:v>-189.86418677139312</x:v>
      </x:c>
      <x:c r="R25" s="122" t="n">
        <x:f t="shared" ref="R25:R28" si="16">Q25*N25/1000</x:f>
        <x:v>-152.69783919124708</x:v>
      </x:c>
      <x:c r="S25" s="123" t="n">
        <x:f t="shared" ref="S25:S28" si="17">$G$3-O25</x:f>
        <x:v>-9.853858647982797</x:v>
      </x:c>
      <x:c r="T25" s="122" t="n">
        <x:f t="shared" ref="T25:T28" si="18">R25*S25/1000</x:f>
        <x:v>1.5046629232429567</x:v>
      </x:c>
    </x:row>
    <x:row r="26">
      <x:c r="A26" s="120">
        <x:f t="shared" si="1"/>
        <x:v>2</x:v>
      </x:c>
      <x:c r="B26" s="120">
        <x:f t="shared" si="2"/>
        <x:v>5</x:v>
      </x:c>
      <x:c r="C26" s="120">
        <x:f t="shared" si="3"/>
        <x:v>7.5</x:v>
      </x:c>
      <x:c r="D26" s="124">
        <x:f t="shared" si="4"/>
        <x:v>2.8118570038903326E-3</x:v>
      </x:c>
      <x:c r="E26" s="120">
        <x:f t="shared" si="5"/>
        <x:v>110.5</x:v>
      </x:c>
      <x:c r="F26" s="120">
        <x:f t="shared" si="6"/>
        <x:v>0</x:v>
      </x:c>
      <x:c r="G26" s="120">
        <x:f t="shared" si="7"/>
        <x:v>110.5</x:v>
      </x:c>
      <x:c r="H26" s="120">
        <x:f t="shared" si="8"/>
        <x:v>193.375</x:v>
      </x:c>
      <x:c r="I26" s="125">
        <x:f t="shared" si="9"/>
        <x:v>30.646141352017203</x:v>
      </x:c>
      <x:c r="J26" s="125">
        <x:f t="shared" si="10"/>
        <x:v>5.926197583946327</x:v>
      </x:c>
      <x:c r="L26" s="120" t="n">
        <x:f>2</x:f>
        <x:v>2</x:v>
      </x:c>
      <x:c r="M26" s="121">
        <x:f t="shared" si="11"/>
        <x:v>2</x:v>
      </x:c>
      <x:c r="N26" s="122">
        <x:f t="shared" si="12"/>
        <x:v>402.12385965949352</x:v>
      </x:c>
      <x:c r="O26" s="123">
        <x:f t="shared" si="13"/>
        <x:v>132.66666666666669</x:v>
      </x:c>
      <x:c r="P26" s="126">
        <x:f t="shared" si="14"/>
        <x:v>-8.6724849978510096E-3</x:v>
      </x:c>
      <x:c r="Q26" s="121">
        <x:f t="shared" si="15"/>
        <x:v>-420</x:v>
      </x:c>
      <x:c r="R26" s="122">
        <x:f t="shared" si="16"/>
        <x:v>-168.89202105698729</x:v>
      </x:c>
      <x:c r="S26" s="123">
        <x:f t="shared" si="17"/>
        <x:v>-94.52052531464949</x:v>
      </x:c>
      <x:c r="T26" s="122">
        <x:f t="shared" si="18"/>
        <x:v>15.963762551759283</x:v>
      </x:c>
    </x:row>
    <x:row r="27">
      <x:c r="A27" s="120">
        <x:f t="shared" si="1"/>
        <x:v>3</x:v>
      </x:c>
      <x:c r="B27" s="120">
        <x:f t="shared" si="2"/>
        <x:v>5</x:v>
      </x:c>
      <x:c r="C27" s="120">
        <x:f t="shared" si="3"/>
        <x:v>12.5</x:v>
      </x:c>
      <x:c r="D27" s="124">
        <x:f t="shared" si="4"/>
        <x:v>2.3530950064838876E-3</x:v>
      </x:c>
      <x:c r="E27" s="133">
        <x:f t="shared" si="5"/>
        <x:v>106.90485811955882</x:v>
      </x:c>
      <x:c r="F27" s="120">
        <x:f t="shared" si="6"/>
        <x:v>0</x:v>
      </x:c>
      <x:c r="G27" s="133">
        <x:f t="shared" si="7"/>
        <x:v>106.90485811955882</x:v>
      </x:c>
      <x:c r="H27" s="122">
        <x:f t="shared" si="8"/>
        <x:v>187.0835017092279</x:v>
      </x:c>
      <x:c r="I27" s="125">
        <x:f t="shared" si="9"/>
        <x:v>25.646141352017203</x:v>
      </x:c>
      <x:c r="J27" s="125">
        <x:f t="shared" si="10"/>
        <x:v>4.7979699294652107</x:v>
      </x:c>
      <x:c r="L27" s="120">
        <x:v>3</x:v>
      </x:c>
      <x:c r="M27" s="121">
        <x:f t="shared" si="11"/>
        <x:v>2</x:v>
      </x:c>
      <x:c r="N27" s="122">
        <x:f t="shared" si="12"/>
        <x:v>402.12385965949352</x:v>
      </x:c>
      <x:c r="O27" s="123">
        <x:f t="shared" si="13"/>
        <x:v>217.33333333333334</x:v>
      </x:c>
      <x:c r="P27" s="126">
        <x:f t="shared" si="14"/>
        <x:v>-1.6440854820600145E-2</x:v>
      </x:c>
      <x:c r="Q27" s="121">
        <x:f t="shared" si="15"/>
        <x:v>-420</x:v>
      </x:c>
      <x:c r="R27" s="122">
        <x:f t="shared" si="16"/>
        <x:v>-168.89202105698729</x:v>
      </x:c>
      <x:c r="S27" s="123">
        <x:f t="shared" si="17"/>
        <x:v>-179.18719198131615</x:v>
      </x:c>
      <x:c r="T27" s="122">
        <x:f t="shared" si="18"/>
        <x:v>30.263287001250873</x:v>
      </x:c>
    </x:row>
    <x:row r="28">
      <x:c r="A28" s="120">
        <x:f t="shared" si="1"/>
        <x:v>4</x:v>
      </x:c>
      <x:c r="B28" s="120">
        <x:f t="shared" si="2"/>
        <x:v>5</x:v>
      </x:c>
      <x:c r="C28" s="120">
        <x:f t="shared" si="3"/>
        <x:v>17.5</x:v>
      </x:c>
      <x:c r="D28" s="124">
        <x:f t="shared" si="4"/>
        <x:v>1.8943330090774426E-3</x:v>
      </x:c>
      <x:c r="E28" s="133">
        <x:f t="shared" si="5"/>
        <x:v>86.062569088201244</x:v>
      </x:c>
      <x:c r="F28" s="120">
        <x:f t="shared" si="6"/>
        <x:v>0</x:v>
      </x:c>
      <x:c r="G28" s="133">
        <x:f t="shared" si="7"/>
        <x:v>86.062569088201244</x:v>
      </x:c>
      <x:c r="H28" s="122">
        <x:f t="shared" si="8"/>
        <x:v>150.60949590435217</x:v>
      </x:c>
      <x:c r="I28" s="125">
        <x:f t="shared" si="9"/>
        <x:v>20.646141352017203</x:v>
      </x:c>
      <x:c r="J28" s="125">
        <x:f t="shared" si="10"/>
        <x:v>3.109504941397311</x:v>
      </x:c>
      <x:c r="L28" s="103">
        <x:v>4</x:v>
      </x:c>
      <x:c r="M28" s="127">
        <x:f t="shared" si="11"/>
        <x:v>4</x:v>
      </x:c>
      <x:c r="N28" s="128">
        <x:f t="shared" si="12"/>
        <x:v>804.24771931898704</x:v>
      </x:c>
      <x:c r="O28" s="129">
        <x:f t="shared" si="13"/>
        <x:v>302</x:v>
      </x:c>
      <x:c r="P28" s="103">
        <x:f t="shared" si="14"/>
        <x:v>-2.4209224643349278E-2</x:v>
      </x:c>
      <x:c r="Q28" s="127">
        <x:f t="shared" si="15"/>
        <x:v>-420</x:v>
      </x:c>
      <x:c r="R28" s="128">
        <x:f t="shared" si="16"/>
        <x:v>-337.78404211397458</x:v>
      </x:c>
      <x:c r="S28" s="129">
        <x:f t="shared" si="17"/>
        <x:v>-263.8538586479828</x:v>
      </x:c>
      <x:c r="T28" s="128">
        <x:f t="shared" si="18"/>
        <x:v>89.125622901484917</x:v>
      </x:c>
    </x:row>
    <x:row r="29">
      <x:c r="A29" s="120">
        <x:f t="shared" si="1"/>
        <x:v>5</x:v>
      </x:c>
      <x:c r="B29" s="120">
        <x:f t="shared" si="2"/>
        <x:v>5</x:v>
      </x:c>
      <x:c r="C29" s="120">
        <x:f t="shared" si="3"/>
        <x:v>22.5</x:v>
      </x:c>
      <x:c r="D29" s="124">
        <x:f t="shared" si="4"/>
        <x:v>1.4355710116709976E-3</x:v>
      </x:c>
      <x:c r="E29" s="133">
        <x:f t="shared" si="5"/>
        <x:v>65.220280056843677</x:v>
      </x:c>
      <x:c r="F29" s="120">
        <x:f t="shared" si="6"/>
        <x:v>0</x:v>
      </x:c>
      <x:c r="G29" s="133">
        <x:f t="shared" si="7"/>
        <x:v>65.220280056843677</x:v>
      </x:c>
      <x:c r="H29" s="122">
        <x:f t="shared" si="8"/>
        <x:v>114.13549009947643</x:v>
      </x:c>
      <x:c r="I29" s="125">
        <x:f t="shared" si="9"/>
        <x:v>15.646141352017203</x:v>
      </x:c>
      <x:c r="J29" s="125">
        <x:f t="shared" si="10"/>
        <x:v>1.7857800113781681</x:v>
      </x:c>
      <x:c r="R29" s="130"/>
    </x:row>
    <x:row r="30">
      <x:c r="A30" s="120">
        <x:f t="shared" si="1"/>
        <x:v>6</x:v>
      </x:c>
      <x:c r="B30" s="120">
        <x:f t="shared" si="2"/>
        <x:v>5</x:v>
      </x:c>
      <x:c r="C30" s="120">
        <x:f t="shared" si="3"/>
        <x:v>27.5</x:v>
      </x:c>
      <x:c r="D30" s="124">
        <x:f t="shared" si="4"/>
        <x:v>9.7680901426455257E-4</x:v>
      </x:c>
      <x:c r="E30" s="133">
        <x:f t="shared" si="5"/>
        <x:v>44.377991025486097</x:v>
      </x:c>
      <x:c r="F30" s="120">
        <x:f t="shared" si="6"/>
        <x:v>0</x:v>
      </x:c>
      <x:c r="G30" s="133">
        <x:f t="shared" si="7"/>
        <x:v>44.377991025486097</x:v>
      </x:c>
      <x:c r="H30" s="122">
        <x:f t="shared" si="8"/>
        <x:v>77.661484294600669</x:v>
      </x:c>
      <x:c r="I30" s="125">
        <x:f t="shared" si="9"/>
        <x:v>10.646141352017203</x:v>
      </x:c>
      <x:c r="J30" s="125">
        <x:f t="shared" si="10"/>
        <x:v>0.82679513940778271</x:v>
      </x:c>
    </x:row>
    <x:row r="31">
      <x:c r="A31" s="120">
        <x:f t="shared" si="1"/>
        <x:v>7</x:v>
      </x:c>
      <x:c r="B31" s="120">
        <x:f t="shared" si="2"/>
        <x:v>5</x:v>
      </x:c>
      <x:c r="C31" s="120">
        <x:f t="shared" si="3"/>
        <x:v>32.5</x:v>
      </x:c>
      <x:c r="D31" s="124">
        <x:f t="shared" si="4"/>
        <x:v>5.1804701685810757E-4</x:v>
      </x:c>
      <x:c r="E31" s="133">
        <x:f t="shared" si="5"/>
        <x:v>23.535701994128516</x:v>
      </x:c>
      <x:c r="F31" s="120">
        <x:f t="shared" si="6"/>
        <x:v>0</x:v>
      </x:c>
      <x:c r="G31" s="133">
        <x:f t="shared" si="7"/>
        <x:v>23.535701994128516</x:v>
      </x:c>
      <x:c r="H31" s="122">
        <x:f t="shared" si="8"/>
        <x:v>41.187478489724896</x:v>
      </x:c>
      <x:c r="I31" s="125">
        <x:f t="shared" si="9"/>
        <x:v>5.646141352017203</x:v>
      </x:c>
      <x:c r="J31" s="125">
        <x:f t="shared" si="10"/>
        <x:v>0.23255032548615479</x:v>
      </x:c>
    </x:row>
    <x:row r="32">
      <x:c r="A32" s="120">
        <x:f t="shared" si="1"/>
        <x:v>8</x:v>
      </x:c>
      <x:c r="B32" s="120">
        <x:f t="shared" si="2"/>
        <x:v>5</x:v>
      </x:c>
      <x:c r="C32" s="120">
        <x:f t="shared" si="3"/>
        <x:v>37.5</x:v>
      </x:c>
      <x:c r="D32" s="124">
        <x:f t="shared" si="4"/>
        <x:v>5.9285019451662597E-5</x:v>
      </x:c>
      <x:c r="E32" s="133">
        <x:f t="shared" si="5"/>
        <x:v>2.6934129627709411</x:v>
      </x:c>
      <x:c r="F32" s="120">
        <x:f t="shared" si="6"/>
        <x:v>0</x:v>
      </x:c>
      <x:c r="G32" s="133">
        <x:f t="shared" si="7"/>
        <x:v>2.6934129627709411</x:v>
      </x:c>
      <x:c r="H32" s="122">
        <x:f t="shared" si="8"/>
        <x:v>4.7134726848491475</x:v>
      </x:c>
      <x:c r="I32" s="125">
        <x:f t="shared" si="9"/>
        <x:v>0.64614135201720302</x:v>
      </x:c>
      <x:c r="J32" s="125">
        <x:f t="shared" si="10"/>
        <x:v>3.0455696132845838E-3</x:v>
      </x:c>
    </x:row>
    <x:row r="33">
      <x:c r="A33" s="120">
        <x:f t="shared" si="1"/>
        <x:v>9</x:v>
      </x:c>
      <x:c r="B33" s="120">
        <x:f t="shared" si="2"/>
        <x:v>5</x:v>
      </x:c>
      <x:c r="C33" s="120">
        <x:f t="shared" si="3"/>
        <x:v>42.5</x:v>
      </x:c>
      <x:c r="D33" s="124">
        <x:f t="shared" si="4"/>
        <x:v>-3.9947697795478238E-4</x:v>
      </x:c>
      <x:c r="E33" s="123">
        <x:f t="shared" si="5"/>
        <x:v>0</x:v>
      </x:c>
      <x:c r="F33" s="121">
        <x:f t="shared" si="6"/>
        <x:v>-8.5</x:v>
      </x:c>
      <x:c r="G33" s="123">
        <x:f t="shared" si="7"/>
        <x:v>-8.5</x:v>
      </x:c>
      <x:c r="H33" s="123">
        <x:f t="shared" si="8"/>
        <x:v>-14.875</x:v>
      </x:c>
      <x:c r="I33" s="125">
        <x:f t="shared" si="9"/>
        <x:v>-4.353858647982797</x:v>
      </x:c>
      <x:c r="J33" s="125">
        <x:f t="shared" si="10"/>
        <x:v>6.47636473887441E-2</x:v>
      </x:c>
    </x:row>
    <x:row r="34">
      <x:c r="A34" s="120">
        <x:f t="shared" si="1"/>
        <x:v>10</x:v>
      </x:c>
      <x:c r="B34" s="120">
        <x:f t="shared" si="2"/>
        <x:v>5</x:v>
      </x:c>
      <x:c r="C34" s="120">
        <x:f t="shared" si="3"/>
        <x:v>47.5</x:v>
      </x:c>
      <x:c r="D34" s="124">
        <x:f t="shared" si="4"/>
        <x:v>-8.5823897536122743E-4</x:v>
      </x:c>
      <x:c r="E34" s="123">
        <x:f t="shared" si="5"/>
        <x:v>0</x:v>
      </x:c>
      <x:c r="F34" s="121">
        <x:f t="shared" si="6"/>
        <x:v>-8.5</x:v>
      </x:c>
      <x:c r="G34" s="123">
        <x:f t="shared" si="7"/>
        <x:v>-8.5</x:v>
      </x:c>
      <x:c r="H34" s="123">
        <x:f t="shared" si="8"/>
        <x:v>-14.875</x:v>
      </x:c>
      <x:c r="I34" s="125">
        <x:f t="shared" si="9"/>
        <x:v>-9.353858647982797</x:v>
      </x:c>
      <x:c r="J34" s="125">
        <x:f t="shared" si="10"/>
        <x:v>0.13913864738874412</x:v>
      </x:c>
      <x:c r="M34" s="131"/>
      <x:c r="N34" s="130"/>
      <x:c r="O34" s="132"/>
      <x:c r="Q34" s="131"/>
      <x:c r="S34" s="132"/>
    </x:row>
    <x:row r="35">
      <x:c r="A35" s="120">
        <x:f t="shared" si="1"/>
        <x:v>11</x:v>
      </x:c>
      <x:c r="B35" s="120">
        <x:f t="shared" si="2"/>
        <x:v>5</x:v>
      </x:c>
      <x:c r="C35" s="120">
        <x:f t="shared" si="3"/>
        <x:v>52.5</x:v>
      </x:c>
      <x:c r="D35" s="124">
        <x:f t="shared" si="4"/>
        <x:v>-1.3170009727676724E-3</x:v>
      </x:c>
      <x:c r="E35" s="123">
        <x:f t="shared" si="5"/>
        <x:v>0</x:v>
      </x:c>
      <x:c r="F35" s="120">
        <x:f t="shared" si="6"/>
        <x:v>-8.5</x:v>
      </x:c>
      <x:c r="G35" s="123">
        <x:f t="shared" si="7"/>
        <x:v>-8.5</x:v>
      </x:c>
      <x:c r="H35" s="122">
        <x:f t="shared" si="8"/>
        <x:v>-14.875</x:v>
      </x:c>
      <x:c r="I35" s="125">
        <x:f t="shared" si="9"/>
        <x:v>-14.353858647982797</x:v>
      </x:c>
      <x:c r="J35" s="125">
        <x:f t="shared" si="10"/>
        <x:v>0.21351364738874412</x:v>
      </x:c>
    </x:row>
    <x:row r="36">
      <x:c r="A36" s="120">
        <x:f t="shared" si="1"/>
        <x:v>12</x:v>
      </x:c>
      <x:c r="B36" s="120">
        <x:f t="shared" si="2"/>
        <x:v>5</x:v>
      </x:c>
      <x:c r="C36" s="120">
        <x:f t="shared" si="3"/>
        <x:v>57.5</x:v>
      </x:c>
      <x:c r="D36" s="124">
        <x:f t="shared" si="4"/>
        <x:v>-1.7757629701741172E-3</x:v>
      </x:c>
      <x:c r="E36" s="123">
        <x:f t="shared" si="5"/>
        <x:v>0</x:v>
      </x:c>
      <x:c r="F36" s="120">
        <x:f t="shared" si="6"/>
        <x:v>-8.5</x:v>
      </x:c>
      <x:c r="G36" s="123">
        <x:f t="shared" si="7"/>
        <x:v>-8.5</x:v>
      </x:c>
      <x:c r="H36" s="122">
        <x:f t="shared" si="8"/>
        <x:v>-14.875</x:v>
      </x:c>
      <x:c r="I36" s="125">
        <x:f t="shared" si="9"/>
        <x:v>-19.353858647982797</x:v>
      </x:c>
      <x:c r="J36" s="125">
        <x:f t="shared" si="10"/>
        <x:v>0.28788864738874415</x:v>
      </x:c>
    </x:row>
    <x:row r="37">
      <x:c r="A37" s="120">
        <x:f t="shared" si="1"/>
        <x:v>13</x:v>
      </x:c>
      <x:c r="B37" s="120">
        <x:f t="shared" si="2"/>
        <x:v>5</x:v>
      </x:c>
      <x:c r="C37" s="120">
        <x:f t="shared" si="3"/>
        <x:v>62.5</x:v>
      </x:c>
      <x:c r="D37" s="124">
        <x:f t="shared" si="4"/>
        <x:v>-2.2345249675805624E-3</x:v>
      </x:c>
      <x:c r="E37" s="123">
        <x:f t="shared" si="5"/>
        <x:v>0</x:v>
      </x:c>
      <x:c r="F37" s="120">
        <x:f t="shared" si="6"/>
        <x:v>-8.5</x:v>
      </x:c>
      <x:c r="G37" s="123">
        <x:f t="shared" si="7"/>
        <x:v>-8.5</x:v>
      </x:c>
      <x:c r="H37" s="122">
        <x:f t="shared" si="8"/>
        <x:v>-14.875</x:v>
      </x:c>
      <x:c r="I37" s="125">
        <x:f t="shared" si="9"/>
        <x:v>-24.353858647982797</x:v>
      </x:c>
      <x:c r="J37" s="125">
        <x:f t="shared" si="10"/>
        <x:v>0.36226364738874411</x:v>
      </x:c>
    </x:row>
    <x:row r="38">
      <x:c r="A38" s="120">
        <x:f t="shared" si="1"/>
        <x:v>14</x:v>
      </x:c>
      <x:c r="B38" s="120">
        <x:f t="shared" si="2"/>
        <x:v>5</x:v>
      </x:c>
      <x:c r="C38" s="120">
        <x:f t="shared" si="3"/>
        <x:v>67.5</x:v>
      </x:c>
      <x:c r="D38" s="124">
        <x:f t="shared" si="4"/>
        <x:v>-2.6932869649870074E-3</x:v>
      </x:c>
      <x:c r="E38" s="123">
        <x:f t="shared" si="5"/>
        <x:v>0</x:v>
      </x:c>
      <x:c r="F38" s="120">
        <x:f t="shared" si="6"/>
        <x:v>-8.5</x:v>
      </x:c>
      <x:c r="G38" s="123">
        <x:f t="shared" si="7"/>
        <x:v>-8.5</x:v>
      </x:c>
      <x:c r="H38" s="122">
        <x:f t="shared" si="8"/>
        <x:v>-14.875</x:v>
      </x:c>
      <x:c r="I38" s="125">
        <x:f t="shared" si="9"/>
        <x:v>-29.353858647982797</x:v>
      </x:c>
      <x:c r="J38" s="125">
        <x:f t="shared" si="10"/>
        <x:v>0.43663864738874414</x:v>
      </x:c>
    </x:row>
    <x:row r="39">
      <x:c r="A39" s="120">
        <x:f t="shared" si="1"/>
        <x:v>15</x:v>
      </x:c>
      <x:c r="B39" s="120">
        <x:f t="shared" si="2"/>
        <x:v>5</x:v>
      </x:c>
      <x:c r="C39" s="120">
        <x:f t="shared" si="3"/>
        <x:v>72.5</x:v>
      </x:c>
      <x:c r="D39" s="124">
        <x:f t="shared" si="4"/>
        <x:v>-3.1520489623934524E-3</x:v>
      </x:c>
      <x:c r="E39" s="123">
        <x:f t="shared" si="5"/>
        <x:v>0</x:v>
      </x:c>
      <x:c r="F39" s="120">
        <x:f t="shared" si="6"/>
        <x:v>-8.5</x:v>
      </x:c>
      <x:c r="G39" s="123">
        <x:f t="shared" si="7"/>
        <x:v>-8.5</x:v>
      </x:c>
      <x:c r="H39" s="122">
        <x:f t="shared" si="8"/>
        <x:v>-14.875</x:v>
      </x:c>
      <x:c r="I39" s="125">
        <x:f t="shared" si="9"/>
        <x:v>-34.353858647982797</x:v>
      </x:c>
      <x:c r="J39" s="125">
        <x:f t="shared" si="10"/>
        <x:v>0.51101364738874411</x:v>
      </x:c>
    </x:row>
    <x:row r="40">
      <x:c r="A40" s="120">
        <x:f t="shared" si="1"/>
        <x:v>16</x:v>
      </x:c>
      <x:c r="B40" s="120">
        <x:f t="shared" si="2"/>
        <x:v>5</x:v>
      </x:c>
      <x:c r="C40" s="120">
        <x:f t="shared" si="3"/>
        <x:v>77.5</x:v>
      </x:c>
      <x:c r="D40" s="124">
        <x:f t="shared" si="4"/>
        <x:v>-3.6108109597998974E-3</x:v>
      </x:c>
      <x:c r="E40" s="123">
        <x:f t="shared" si="5"/>
        <x:v>0</x:v>
      </x:c>
      <x:c r="F40" s="120">
        <x:f t="shared" si="6"/>
        <x:v>-8.5</x:v>
      </x:c>
      <x:c r="G40" s="123">
        <x:f t="shared" si="7"/>
        <x:v>-8.5</x:v>
      </x:c>
      <x:c r="H40" s="122">
        <x:f t="shared" si="8"/>
        <x:v>-14.875</x:v>
      </x:c>
      <x:c r="I40" s="125">
        <x:f t="shared" si="9"/>
        <x:v>-39.353858647982797</x:v>
      </x:c>
      <x:c r="J40" s="125">
        <x:f t="shared" si="10"/>
        <x:v>0.58538864738874408</x:v>
      </x:c>
    </x:row>
    <x:row r="41">
      <x:c r="A41" s="120">
        <x:f t="shared" si="1"/>
        <x:v>17</x:v>
      </x:c>
      <x:c r="B41" s="120">
        <x:f t="shared" si="2"/>
        <x:v>5</x:v>
      </x:c>
      <x:c r="C41" s="120">
        <x:f t="shared" si="3"/>
        <x:v>82.5</x:v>
      </x:c>
      <x:c r="D41" s="124">
        <x:f t="shared" si="4"/>
        <x:v>-4.0695729572063424E-3</x:v>
      </x:c>
      <x:c r="E41" s="123">
        <x:f t="shared" si="5"/>
        <x:v>0</x:v>
      </x:c>
      <x:c r="F41" s="120">
        <x:f t="shared" si="6"/>
        <x:v>-8.5</x:v>
      </x:c>
      <x:c r="G41" s="123">
        <x:f t="shared" si="7"/>
        <x:v>-8.5</x:v>
      </x:c>
      <x:c r="H41" s="122">
        <x:f t="shared" si="8"/>
        <x:v>-14.875</x:v>
      </x:c>
      <x:c r="I41" s="125">
        <x:f t="shared" si="9"/>
        <x:v>-44.353858647982797</x:v>
      </x:c>
      <x:c r="J41" s="125">
        <x:f t="shared" si="10"/>
        <x:v>0.65976364738874405</x:v>
      </x:c>
    </x:row>
    <x:row r="42">
      <x:c r="A42" s="120">
        <x:f t="shared" si="1"/>
        <x:v>18</x:v>
      </x:c>
      <x:c r="B42" s="120">
        <x:f t="shared" si="2"/>
        <x:v>5</x:v>
      </x:c>
      <x:c r="C42" s="120">
        <x:f t="shared" si="3"/>
        <x:v>87.5</x:v>
      </x:c>
      <x:c r="D42" s="124">
        <x:f t="shared" si="4"/>
        <x:v>-4.5283349546127874E-3</x:v>
      </x:c>
      <x:c r="E42" s="123">
        <x:f t="shared" si="5"/>
        <x:v>0</x:v>
      </x:c>
      <x:c r="F42" s="120">
        <x:f t="shared" si="6"/>
        <x:v>0</x:v>
      </x:c>
      <x:c r="G42" s="123">
        <x:f t="shared" si="7"/>
        <x:v>0</x:v>
      </x:c>
      <x:c r="H42" s="122">
        <x:f t="shared" si="8"/>
        <x:v>0</x:v>
      </x:c>
      <x:c r="I42" s="125">
        <x:f t="shared" si="9"/>
        <x:v>-49.353858647982797</x:v>
      </x:c>
      <x:c r="J42" s="125">
        <x:f t="shared" si="10"/>
        <x:v>0</x:v>
      </x:c>
    </x:row>
    <x:row r="43">
      <x:c r="A43" s="120">
        <x:f t="shared" si="1"/>
        <x:v>19</x:v>
      </x:c>
      <x:c r="B43" s="120">
        <x:f t="shared" si="2"/>
        <x:v>5</x:v>
      </x:c>
      <x:c r="C43" s="120">
        <x:f t="shared" si="3"/>
        <x:v>92.5</x:v>
      </x:c>
      <x:c r="D43" s="124">
        <x:f t="shared" si="4"/>
        <x:v>-4.9870969520192324E-3</x:v>
      </x:c>
      <x:c r="E43" s="123">
        <x:f t="shared" si="5"/>
        <x:v>0</x:v>
      </x:c>
      <x:c r="F43" s="120">
        <x:f t="shared" si="6"/>
        <x:v>0</x:v>
      </x:c>
      <x:c r="G43" s="123">
        <x:f t="shared" si="7"/>
        <x:v>0</x:v>
      </x:c>
      <x:c r="H43" s="122">
        <x:f t="shared" si="8"/>
        <x:v>0</x:v>
      </x:c>
      <x:c r="I43" s="125">
        <x:f t="shared" si="9"/>
        <x:v>-54.353858647982797</x:v>
      </x:c>
      <x:c r="J43" s="125">
        <x:f t="shared" si="10"/>
        <x:v>0</x:v>
      </x:c>
    </x:row>
    <x:row r="44">
      <x:c r="A44" s="120">
        <x:f t="shared" si="1"/>
        <x:v>20</x:v>
      </x:c>
      <x:c r="B44" s="120">
        <x:f t="shared" si="2"/>
        <x:v>5</x:v>
      </x:c>
      <x:c r="C44" s="120">
        <x:f t="shared" si="3"/>
        <x:v>97.5</x:v>
      </x:c>
      <x:c r="D44" s="124">
        <x:f t="shared" si="4"/>
        <x:v>-5.4458589494256774E-3</x:v>
      </x:c>
      <x:c r="E44" s="123">
        <x:f t="shared" si="5"/>
        <x:v>0</x:v>
      </x:c>
      <x:c r="F44" s="120">
        <x:f t="shared" si="6"/>
        <x:v>0</x:v>
      </x:c>
      <x:c r="G44" s="123">
        <x:f t="shared" si="7"/>
        <x:v>0</x:v>
      </x:c>
      <x:c r="H44" s="122">
        <x:f t="shared" si="8"/>
        <x:v>0</x:v>
      </x:c>
      <x:c r="I44" s="125">
        <x:f t="shared" si="9"/>
        <x:v>-59.353858647982797</x:v>
      </x:c>
      <x:c r="J44" s="125">
        <x:f t="shared" si="10"/>
        <x:v>0</x:v>
      </x:c>
    </x:row>
    <x:row r="45">
      <x:c r="A45" s="120">
        <x:f t="shared" si="1"/>
        <x:v>21</x:v>
      </x:c>
      <x:c r="B45" s="120">
        <x:f t="shared" si="2"/>
        <x:v>5</x:v>
      </x:c>
      <x:c r="C45" s="120">
        <x:f t="shared" si="3"/>
        <x:v>102.5</x:v>
      </x:c>
      <x:c r="D45" s="124">
        <x:f t="shared" si="4"/>
        <x:v>-5.9046209468321233E-3</x:v>
      </x:c>
      <x:c r="E45" s="123">
        <x:f t="shared" si="5"/>
        <x:v>0</x:v>
      </x:c>
      <x:c r="F45" s="120">
        <x:f t="shared" si="6"/>
        <x:v>0</x:v>
      </x:c>
      <x:c r="G45" s="123">
        <x:f t="shared" si="7"/>
        <x:v>0</x:v>
      </x:c>
      <x:c r="H45" s="122">
        <x:f t="shared" si="8"/>
        <x:v>0</x:v>
      </x:c>
      <x:c r="I45" s="125">
        <x:f t="shared" si="9"/>
        <x:v>-64.353858647982804</x:v>
      </x:c>
      <x:c r="J45" s="125">
        <x:f t="shared" si="10"/>
        <x:v>0</x:v>
      </x:c>
    </x:row>
    <x:row r="46">
      <x:c r="A46" s="120">
        <x:f t="shared" si="1"/>
        <x:v>22</x:v>
      </x:c>
      <x:c r="B46" s="120">
        <x:f t="shared" si="2"/>
        <x:v>5</x:v>
      </x:c>
      <x:c r="C46" s="120">
        <x:f t="shared" si="3"/>
        <x:v>107.5</x:v>
      </x:c>
      <x:c r="D46" s="124">
        <x:f t="shared" si="4"/>
        <x:v>-6.3633829442385683E-3</x:v>
      </x:c>
      <x:c r="E46" s="123">
        <x:f t="shared" si="5"/>
        <x:v>0</x:v>
      </x:c>
      <x:c r="F46" s="120">
        <x:f t="shared" si="6"/>
        <x:v>0</x:v>
      </x:c>
      <x:c r="G46" s="123">
        <x:f t="shared" si="7"/>
        <x:v>0</x:v>
      </x:c>
      <x:c r="H46" s="122">
        <x:f t="shared" si="8"/>
        <x:v>0</x:v>
      </x:c>
      <x:c r="I46" s="125">
        <x:f t="shared" si="9"/>
        <x:v>-69.353858647982804</x:v>
      </x:c>
      <x:c r="J46" s="125">
        <x:f t="shared" si="10"/>
        <x:v>0</x:v>
      </x:c>
    </x:row>
    <x:row r="47">
      <x:c r="A47" s="120">
        <x:f t="shared" si="1"/>
        <x:v>23</x:v>
      </x:c>
      <x:c r="B47" s="120">
        <x:f t="shared" si="2"/>
        <x:v>5</x:v>
      </x:c>
      <x:c r="C47" s="120">
        <x:f t="shared" si="3"/>
        <x:v>112.5</x:v>
      </x:c>
      <x:c r="D47" s="124">
        <x:f t="shared" si="4"/>
        <x:v>-6.8221449416450133E-3</x:v>
      </x:c>
      <x:c r="E47" s="123">
        <x:f t="shared" si="5"/>
        <x:v>0</x:v>
      </x:c>
      <x:c r="F47" s="120">
        <x:f t="shared" si="6"/>
        <x:v>0</x:v>
      </x:c>
      <x:c r="G47" s="123">
        <x:f t="shared" si="7"/>
        <x:v>0</x:v>
      </x:c>
      <x:c r="H47" s="122">
        <x:f t="shared" si="8"/>
        <x:v>0</x:v>
      </x:c>
      <x:c r="I47" s="125">
        <x:f t="shared" si="9"/>
        <x:v>-74.353858647982804</x:v>
      </x:c>
      <x:c r="J47" s="125">
        <x:f t="shared" si="10"/>
        <x:v>0</x:v>
      </x:c>
    </x:row>
    <x:row r="48">
      <x:c r="A48" s="120">
        <x:f t="shared" si="1"/>
        <x:v>24</x:v>
      </x:c>
      <x:c r="B48" s="120">
        <x:f t="shared" si="2"/>
        <x:v>5</x:v>
      </x:c>
      <x:c r="C48" s="120">
        <x:f t="shared" si="3"/>
        <x:v>117.5</x:v>
      </x:c>
      <x:c r="D48" s="124">
        <x:f t="shared" si="4"/>
        <x:v>-7.2809069390514574E-3</x:v>
      </x:c>
      <x:c r="E48" s="123">
        <x:f t="shared" si="5"/>
        <x:v>0</x:v>
      </x:c>
      <x:c r="F48" s="120">
        <x:f t="shared" si="6"/>
        <x:v>0</x:v>
      </x:c>
      <x:c r="G48" s="123">
        <x:f t="shared" si="7"/>
        <x:v>0</x:v>
      </x:c>
      <x:c r="H48" s="122">
        <x:f t="shared" si="8"/>
        <x:v>0</x:v>
      </x:c>
      <x:c r="I48" s="125">
        <x:f t="shared" si="9"/>
        <x:v>-79.353858647982804</x:v>
      </x:c>
      <x:c r="J48" s="125">
        <x:f t="shared" si="10"/>
        <x:v>0</x:v>
      </x:c>
    </x:row>
    <x:row r="49">
      <x:c r="A49" s="120">
        <x:f t="shared" si="1"/>
        <x:v>25</x:v>
      </x:c>
      <x:c r="B49" s="120">
        <x:f t="shared" si="2"/>
        <x:v>5</x:v>
      </x:c>
      <x:c r="C49" s="120">
        <x:f t="shared" si="3"/>
        <x:v>122.5</x:v>
      </x:c>
      <x:c r="D49" s="124">
        <x:f t="shared" si="4"/>
        <x:v>-7.7396689364579033E-3</x:v>
      </x:c>
      <x:c r="E49" s="123">
        <x:f t="shared" si="5"/>
        <x:v>0</x:v>
      </x:c>
      <x:c r="F49" s="120">
        <x:f t="shared" si="6"/>
        <x:v>0</x:v>
      </x:c>
      <x:c r="G49" s="123">
        <x:f t="shared" si="7"/>
        <x:v>0</x:v>
      </x:c>
      <x:c r="H49" s="122">
        <x:f t="shared" si="8"/>
        <x:v>0</x:v>
      </x:c>
      <x:c r="I49" s="125">
        <x:f t="shared" si="9"/>
        <x:v>-84.353858647982804</x:v>
      </x:c>
      <x:c r="J49" s="125">
        <x:f t="shared" si="10"/>
        <x:v>0</x:v>
      </x:c>
    </x:row>
    <x:row r="50">
      <x:c r="A50" s="120">
        <x:f t="shared" si="1"/>
        <x:v>26</x:v>
      </x:c>
      <x:c r="B50" s="120">
        <x:f t="shared" si="2"/>
        <x:v>5</x:v>
      </x:c>
      <x:c r="C50" s="120">
        <x:f t="shared" si="3"/>
        <x:v>127.5</x:v>
      </x:c>
      <x:c r="D50" s="124">
        <x:f t="shared" si="4"/>
        <x:v>-8.1984309338643483E-3</x:v>
      </x:c>
      <x:c r="E50" s="123">
        <x:f t="shared" si="5"/>
        <x:v>0</x:v>
      </x:c>
      <x:c r="F50" s="133">
        <x:f t="shared" si="6"/>
        <x:v>0</x:v>
      </x:c>
      <x:c r="G50" s="123">
        <x:f t="shared" si="7"/>
        <x:v>0</x:v>
      </x:c>
      <x:c r="H50" s="122">
        <x:f t="shared" si="8"/>
        <x:v>0</x:v>
      </x:c>
      <x:c r="I50" s="125">
        <x:f t="shared" si="9"/>
        <x:v>-89.353858647982804</x:v>
      </x:c>
      <x:c r="J50" s="125">
        <x:f t="shared" si="10"/>
        <x:v>0</x:v>
      </x:c>
    </x:row>
    <x:row r="51">
      <x:c r="A51" s="120">
        <x:f t="shared" si="1"/>
        <x:v>27</x:v>
      </x:c>
      <x:c r="B51" s="120">
        <x:f t="shared" si="2"/>
        <x:v>5</x:v>
      </x:c>
      <x:c r="C51" s="120">
        <x:f t="shared" si="3"/>
        <x:v>132.5</x:v>
      </x:c>
      <x:c r="D51" s="124">
        <x:f t="shared" si="4"/>
        <x:v>-8.6571929312707924E-3</x:v>
      </x:c>
      <x:c r="E51" s="123">
        <x:f t="shared" si="5"/>
        <x:v>0</x:v>
      </x:c>
      <x:c r="F51" s="120">
        <x:f t="shared" si="6"/>
        <x:v>0</x:v>
      </x:c>
      <x:c r="G51" s="123">
        <x:f t="shared" si="7"/>
        <x:v>0</x:v>
      </x:c>
      <x:c r="H51" s="122">
        <x:f t="shared" si="8"/>
        <x:v>0</x:v>
      </x:c>
      <x:c r="I51" s="125">
        <x:f t="shared" si="9"/>
        <x:v>-94.353858647982804</x:v>
      </x:c>
      <x:c r="J51" s="125">
        <x:f t="shared" si="10"/>
        <x:v>0</x:v>
      </x:c>
    </x:row>
    <x:row r="52">
      <x:c r="A52" s="120">
        <x:f t="shared" si="1"/>
        <x:v>28</x:v>
      </x:c>
      <x:c r="B52" s="120">
        <x:f t="shared" si="2"/>
        <x:v>5</x:v>
      </x:c>
      <x:c r="C52" s="120">
        <x:f t="shared" si="3"/>
        <x:v>137.5</x:v>
      </x:c>
      <x:c r="D52" s="124">
        <x:f t="shared" si="4"/>
        <x:v>-9.1159549286772383E-3</x:v>
      </x:c>
      <x:c r="E52" s="123">
        <x:f t="shared" si="5"/>
        <x:v>0</x:v>
      </x:c>
      <x:c r="F52" s="120">
        <x:f t="shared" si="6"/>
        <x:v>0</x:v>
      </x:c>
      <x:c r="G52" s="123">
        <x:f t="shared" si="7"/>
        <x:v>0</x:v>
      </x:c>
      <x:c r="H52" s="122">
        <x:f t="shared" si="8"/>
        <x:v>0</x:v>
      </x:c>
      <x:c r="I52" s="125">
        <x:f t="shared" si="9"/>
        <x:v>-99.353858647982804</x:v>
      </x:c>
      <x:c r="J52" s="125">
        <x:f t="shared" si="10"/>
        <x:v>0</x:v>
      </x:c>
    </x:row>
    <x:row r="53">
      <x:c r="A53" s="120">
        <x:f t="shared" si="1"/>
        <x:v>29</x:v>
      </x:c>
      <x:c r="B53" s="120">
        <x:f t="shared" si="2"/>
        <x:v>5</x:v>
      </x:c>
      <x:c r="C53" s="120">
        <x:f t="shared" si="3"/>
        <x:v>142.5</x:v>
      </x:c>
      <x:c r="D53" s="124">
        <x:f t="shared" si="4"/>
        <x:v>-9.5747169260836824E-3</x:v>
      </x:c>
      <x:c r="E53" s="123">
        <x:f t="shared" si="5"/>
        <x:v>0</x:v>
      </x:c>
      <x:c r="F53" s="120">
        <x:f t="shared" si="6"/>
        <x:v>0</x:v>
      </x:c>
      <x:c r="G53" s="123">
        <x:f t="shared" si="7"/>
        <x:v>0</x:v>
      </x:c>
      <x:c r="H53" s="122">
        <x:f t="shared" si="8"/>
        <x:v>0</x:v>
      </x:c>
      <x:c r="I53" s="125">
        <x:f t="shared" si="9"/>
        <x:v>-104.3538586479828</x:v>
      </x:c>
      <x:c r="J53" s="125">
        <x:f t="shared" si="10"/>
        <x:v>0</x:v>
      </x:c>
    </x:row>
    <x:row r="54">
      <x:c r="A54" s="120">
        <x:f t="shared" si="1"/>
        <x:v>30</x:v>
      </x:c>
      <x:c r="B54" s="120">
        <x:f t="shared" si="2"/>
        <x:v>5</x:v>
      </x:c>
      <x:c r="C54" s="120">
        <x:f t="shared" si="3"/>
        <x:v>147.5</x:v>
      </x:c>
      <x:c r="D54" s="124">
        <x:f t="shared" si="4"/>
        <x:v>-1.0033478923490128E-2</x:v>
      </x:c>
      <x:c r="E54" s="123">
        <x:f t="shared" si="5"/>
        <x:v>0</x:v>
      </x:c>
      <x:c r="F54" s="120">
        <x:f t="shared" si="6"/>
        <x:v>0</x:v>
      </x:c>
      <x:c r="G54" s="123">
        <x:f t="shared" si="7"/>
        <x:v>0</x:v>
      </x:c>
      <x:c r="H54" s="122">
        <x:f t="shared" si="8"/>
        <x:v>0</x:v>
      </x:c>
      <x:c r="I54" s="125">
        <x:f t="shared" si="9"/>
        <x:v>-109.3538586479828</x:v>
      </x:c>
      <x:c r="J54" s="125">
        <x:f t="shared" si="10"/>
        <x:v>0</x:v>
      </x:c>
    </x:row>
    <x:row r="55">
      <x:c r="A55" s="120">
        <x:f t="shared" si="1"/>
        <x:v>31</x:v>
      </x:c>
      <x:c r="B55" s="120">
        <x:f t="shared" si="2"/>
        <x:v>5</x:v>
      </x:c>
      <x:c r="C55" s="120">
        <x:f t="shared" si="3"/>
        <x:v>152.5</x:v>
      </x:c>
      <x:c r="D55" s="124">
        <x:f t="shared" si="4"/>
        <x:v>-1.0492240920896572E-2</x:v>
      </x:c>
      <x:c r="E55" s="123">
        <x:f t="shared" si="5"/>
        <x:v>0</x:v>
      </x:c>
      <x:c r="F55" s="120">
        <x:f t="shared" si="6"/>
        <x:v>0</x:v>
      </x:c>
      <x:c r="G55" s="123">
        <x:f t="shared" si="7"/>
        <x:v>0</x:v>
      </x:c>
      <x:c r="H55" s="122">
        <x:f t="shared" si="8"/>
        <x:v>0</x:v>
      </x:c>
      <x:c r="I55" s="125">
        <x:f t="shared" si="9"/>
        <x:v>-114.3538586479828</x:v>
      </x:c>
      <x:c r="J55" s="125">
        <x:f t="shared" si="10"/>
        <x:v>0</x:v>
      </x:c>
    </x:row>
    <x:row r="56">
      <x:c r="A56" s="120">
        <x:f t="shared" si="1"/>
        <x:v>32</x:v>
      </x:c>
      <x:c r="B56" s="120">
        <x:f t="shared" si="2"/>
        <x:v>5</x:v>
      </x:c>
      <x:c r="C56" s="120">
        <x:f t="shared" si="3"/>
        <x:v>157.5</x:v>
      </x:c>
      <x:c r="D56" s="124">
        <x:f t="shared" si="4"/>
        <x:v>-1.0951002918303018E-2</x:v>
      </x:c>
      <x:c r="E56" s="123">
        <x:f t="shared" si="5"/>
        <x:v>0</x:v>
      </x:c>
      <x:c r="F56" s="120">
        <x:f t="shared" si="6"/>
        <x:v>0</x:v>
      </x:c>
      <x:c r="G56" s="123">
        <x:f t="shared" si="7"/>
        <x:v>0</x:v>
      </x:c>
      <x:c r="H56" s="122">
        <x:f t="shared" si="8"/>
        <x:v>0</x:v>
      </x:c>
      <x:c r="I56" s="125">
        <x:f t="shared" si="9"/>
        <x:v>-119.3538586479828</x:v>
      </x:c>
      <x:c r="J56" s="125">
        <x:f t="shared" si="10"/>
        <x:v>0</x:v>
      </x:c>
    </x:row>
    <x:row r="57">
      <x:c r="A57" s="120">
        <x:f t="shared" si="1"/>
        <x:v>33</x:v>
      </x:c>
      <x:c r="B57" s="120">
        <x:f t="shared" si="2"/>
        <x:v>5</x:v>
      </x:c>
      <x:c r="C57" s="120">
        <x:f t="shared" si="3"/>
        <x:v>162.5</x:v>
      </x:c>
      <x:c r="D57" s="124">
        <x:f t="shared" si="4"/>
        <x:v>-1.1409764915709462E-2</x:v>
      </x:c>
      <x:c r="E57" s="123">
        <x:f t="shared" si="5"/>
        <x:v>0</x:v>
      </x:c>
      <x:c r="F57" s="120">
        <x:f t="shared" si="6"/>
        <x:v>0</x:v>
      </x:c>
      <x:c r="G57" s="123">
        <x:f t="shared" si="7"/>
        <x:v>0</x:v>
      </x:c>
      <x:c r="H57" s="122">
        <x:f t="shared" si="8"/>
        <x:v>0</x:v>
      </x:c>
      <x:c r="I57" s="125">
        <x:f t="shared" si="9"/>
        <x:v>-124.3538586479828</x:v>
      </x:c>
      <x:c r="J57" s="125">
        <x:f t="shared" si="10"/>
        <x:v>0</x:v>
      </x:c>
    </x:row>
    <x:row r="58">
      <x:c r="A58" s="120">
        <x:f t="shared" si="1"/>
        <x:v>34</x:v>
      </x:c>
      <x:c r="B58" s="120">
        <x:f t="shared" si="2"/>
        <x:v>5</x:v>
      </x:c>
      <x:c r="C58" s="120">
        <x:f t="shared" si="3"/>
        <x:v>167.5</x:v>
      </x:c>
      <x:c r="D58" s="124">
        <x:f t="shared" si="4"/>
        <x:v>-1.1868526913115908E-2</x:v>
      </x:c>
      <x:c r="E58" s="120">
        <x:f t="shared" si="5"/>
        <x:v>0</x:v>
      </x:c>
      <x:c r="F58" s="133">
        <x:f t="shared" si="6"/>
        <x:v>0</x:v>
      </x:c>
      <x:c r="G58" s="133">
        <x:f t="shared" si="7"/>
        <x:v>0</x:v>
      </x:c>
      <x:c r="H58" s="122">
        <x:f t="shared" si="8"/>
        <x:v>0</x:v>
      </x:c>
      <x:c r="I58" s="125">
        <x:f t="shared" si="9"/>
        <x:v>-129.3538586479828</x:v>
      </x:c>
      <x:c r="J58" s="125">
        <x:f t="shared" si="10"/>
        <x:v>0</x:v>
      </x:c>
    </x:row>
    <x:row r="59">
      <x:c r="A59" s="120">
        <x:f t="shared" si="1"/>
        <x:v>35</x:v>
      </x:c>
      <x:c r="B59" s="120">
        <x:f t="shared" si="2"/>
        <x:v>5</x:v>
      </x:c>
      <x:c r="C59" s="120">
        <x:f t="shared" si="3"/>
        <x:v>172.5</x:v>
      </x:c>
      <x:c r="D59" s="124">
        <x:f t="shared" si="4"/>
        <x:v>-1.2327288910522352E-2</x:v>
      </x:c>
      <x:c r="E59" s="120">
        <x:f t="shared" si="5"/>
        <x:v>0</x:v>
      </x:c>
      <x:c r="F59" s="120">
        <x:f t="shared" si="6"/>
        <x:v>0</x:v>
      </x:c>
      <x:c r="G59" s="120">
        <x:f t="shared" si="7"/>
        <x:v>0</x:v>
      </x:c>
      <x:c r="H59" s="120">
        <x:f t="shared" si="8"/>
        <x:v>0</x:v>
      </x:c>
      <x:c r="I59" s="125">
        <x:f t="shared" si="9"/>
        <x:v>-134.3538586479828</x:v>
      </x:c>
      <x:c r="J59" s="125">
        <x:f t="shared" si="10"/>
        <x:v>0</x:v>
      </x:c>
    </x:row>
    <x:row r="60">
      <x:c r="A60" s="120">
        <x:f t="shared" si="1"/>
        <x:v>36</x:v>
      </x:c>
      <x:c r="B60" s="120">
        <x:f t="shared" si="2"/>
        <x:v>5</x:v>
      </x:c>
      <x:c r="C60" s="120">
        <x:f t="shared" si="3"/>
        <x:v>177.5</x:v>
      </x:c>
      <x:c r="D60" s="124">
        <x:f t="shared" si="4"/>
        <x:v>-1.2786050907928798E-2</x:v>
      </x:c>
      <x:c r="E60" s="120">
        <x:f t="shared" si="5"/>
        <x:v>0</x:v>
      </x:c>
      <x:c r="F60" s="120">
        <x:f t="shared" si="6"/>
        <x:v>0</x:v>
      </x:c>
      <x:c r="G60" s="120">
        <x:f t="shared" si="7"/>
        <x:v>0</x:v>
      </x:c>
      <x:c r="H60" s="120">
        <x:f t="shared" si="8"/>
        <x:v>0</x:v>
      </x:c>
      <x:c r="I60" s="125">
        <x:f t="shared" si="9"/>
        <x:v>-139.3538586479828</x:v>
      </x:c>
      <x:c r="J60" s="125">
        <x:f t="shared" si="10"/>
        <x:v>0</x:v>
      </x:c>
    </x:row>
    <x:row r="61">
      <x:c r="A61" s="120">
        <x:f t="shared" si="1"/>
        <x:v>37</x:v>
      </x:c>
      <x:c r="B61" s="120">
        <x:f t="shared" si="2"/>
        <x:v>5</x:v>
      </x:c>
      <x:c r="C61" s="120">
        <x:f t="shared" si="3"/>
        <x:v>182.5</x:v>
      </x:c>
      <x:c r="D61" s="124">
        <x:f t="shared" si="4"/>
        <x:v>-1.3244812905335242E-2</x:v>
      </x:c>
      <x:c r="E61" s="120">
        <x:f t="shared" si="5"/>
        <x:v>0</x:v>
      </x:c>
      <x:c r="F61" s="120">
        <x:f t="shared" si="6"/>
        <x:v>0</x:v>
      </x:c>
      <x:c r="G61" s="120">
        <x:f t="shared" si="7"/>
        <x:v>0</x:v>
      </x:c>
      <x:c r="H61" s="120">
        <x:f t="shared" si="8"/>
        <x:v>0</x:v>
      </x:c>
      <x:c r="I61" s="125">
        <x:f t="shared" si="9"/>
        <x:v>-144.3538586479828</x:v>
      </x:c>
      <x:c r="J61" s="125">
        <x:f t="shared" si="10"/>
        <x:v>0</x:v>
      </x:c>
    </x:row>
    <x:row r="62">
      <x:c r="A62" s="120">
        <x:f t="shared" si="1"/>
        <x:v>38</x:v>
      </x:c>
      <x:c r="B62" s="120">
        <x:f t="shared" si="2"/>
        <x:v>5</x:v>
      </x:c>
      <x:c r="C62" s="120">
        <x:f t="shared" si="3"/>
        <x:v>187.5</x:v>
      </x:c>
      <x:c r="D62" s="124">
        <x:f t="shared" si="4"/>
        <x:v>-1.3703574902741688E-2</x:v>
      </x:c>
      <x:c r="E62" s="120">
        <x:f t="shared" si="5"/>
        <x:v>0</x:v>
      </x:c>
      <x:c r="F62" s="120">
        <x:f t="shared" si="6"/>
        <x:v>0</x:v>
      </x:c>
      <x:c r="G62" s="120">
        <x:f t="shared" si="7"/>
        <x:v>0</x:v>
      </x:c>
      <x:c r="H62" s="120">
        <x:f t="shared" si="8"/>
        <x:v>0</x:v>
      </x:c>
      <x:c r="I62" s="125">
        <x:f t="shared" si="9"/>
        <x:v>-149.3538586479828</x:v>
      </x:c>
      <x:c r="J62" s="125">
        <x:f t="shared" si="10"/>
        <x:v>0</x:v>
      </x:c>
    </x:row>
    <x:row r="63">
      <x:c r="A63" s="120">
        <x:f t="shared" si="1"/>
        <x:v>39</x:v>
      </x:c>
      <x:c r="B63" s="120">
        <x:f t="shared" si="2"/>
        <x:v>5</x:v>
      </x:c>
      <x:c r="C63" s="120">
        <x:f t="shared" si="3"/>
        <x:v>192.5</x:v>
      </x:c>
      <x:c r="D63" s="124">
        <x:f t="shared" si="4"/>
        <x:v>-1.4162336900148132E-2</x:v>
      </x:c>
      <x:c r="E63" s="120">
        <x:f t="shared" si="5"/>
        <x:v>0</x:v>
      </x:c>
      <x:c r="F63" s="120">
        <x:f t="shared" si="6"/>
        <x:v>0</x:v>
      </x:c>
      <x:c r="G63" s="120">
        <x:f t="shared" si="7"/>
        <x:v>0</x:v>
      </x:c>
      <x:c r="H63" s="120">
        <x:f t="shared" si="8"/>
        <x:v>0</x:v>
      </x:c>
      <x:c r="I63" s="125">
        <x:f t="shared" si="9"/>
        <x:v>-154.3538586479828</x:v>
      </x:c>
      <x:c r="J63" s="125">
        <x:f t="shared" si="10"/>
        <x:v>0</x:v>
      </x:c>
    </x:row>
    <x:row r="64">
      <x:c r="A64" s="120">
        <x:f t="shared" si="1"/>
        <x:v>40</x:v>
      </x:c>
      <x:c r="B64" s="120">
        <x:f t="shared" si="2"/>
        <x:v>5</x:v>
      </x:c>
      <x:c r="C64" s="120">
        <x:f t="shared" si="3"/>
        <x:v>197.5</x:v>
      </x:c>
      <x:c r="D64" s="124">
        <x:f t="shared" si="4"/>
        <x:v>-1.4621098897554577E-2</x:v>
      </x:c>
      <x:c r="E64" s="120">
        <x:f t="shared" si="5"/>
        <x:v>0</x:v>
      </x:c>
      <x:c r="F64" s="120">
        <x:f t="shared" si="6"/>
        <x:v>0</x:v>
      </x:c>
      <x:c r="G64" s="120">
        <x:f t="shared" si="7"/>
        <x:v>0</x:v>
      </x:c>
      <x:c r="H64" s="120">
        <x:f t="shared" si="8"/>
        <x:v>0</x:v>
      </x:c>
      <x:c r="I64" s="125">
        <x:f t="shared" si="9"/>
        <x:v>-159.3538586479828</x:v>
      </x:c>
      <x:c r="J64" s="125">
        <x:f t="shared" si="10"/>
        <x:v>0</x:v>
      </x:c>
    </x:row>
    <x:row r="65">
      <x:c r="A65" s="120">
        <x:f t="shared" si="1"/>
        <x:v>41</x:v>
      </x:c>
      <x:c r="B65" s="120">
        <x:f t="shared" si="2"/>
        <x:v>5</x:v>
      </x:c>
      <x:c r="C65" s="120">
        <x:f t="shared" si="3"/>
        <x:v>202.5</x:v>
      </x:c>
      <x:c r="D65" s="124">
        <x:f t="shared" si="4"/>
        <x:v>-1.5079860894961024E-2</x:v>
      </x:c>
      <x:c r="E65" s="120">
        <x:f t="shared" si="5"/>
        <x:v>0</x:v>
      </x:c>
      <x:c r="F65" s="120">
        <x:f t="shared" si="6"/>
        <x:v>0</x:v>
      </x:c>
      <x:c r="G65" s="120">
        <x:f t="shared" si="7"/>
        <x:v>0</x:v>
      </x:c>
      <x:c r="H65" s="120">
        <x:f t="shared" si="8"/>
        <x:v>0</x:v>
      </x:c>
      <x:c r="I65" s="125">
        <x:f t="shared" si="9"/>
        <x:v>-164.3538586479828</x:v>
      </x:c>
      <x:c r="J65" s="125">
        <x:f t="shared" si="10"/>
        <x:v>0</x:v>
      </x:c>
    </x:row>
    <x:row r="66">
      <x:c r="A66" s="120">
        <x:f t="shared" si="1"/>
        <x:v>42</x:v>
      </x:c>
      <x:c r="B66" s="120">
        <x:f t="shared" si="2"/>
        <x:v>5</x:v>
      </x:c>
      <x:c r="C66" s="120">
        <x:f t="shared" si="3"/>
        <x:v>207.5</x:v>
      </x:c>
      <x:c r="D66" s="124">
        <x:f t="shared" si="4"/>
        <x:v>-1.5538622892367468E-2</x:v>
      </x:c>
      <x:c r="E66" s="120">
        <x:f t="shared" si="5"/>
        <x:v>0</x:v>
      </x:c>
      <x:c r="F66" s="120">
        <x:f t="shared" si="6"/>
        <x:v>0</x:v>
      </x:c>
      <x:c r="G66" s="120">
        <x:f t="shared" si="7"/>
        <x:v>0</x:v>
      </x:c>
      <x:c r="H66" s="120">
        <x:f t="shared" si="8"/>
        <x:v>0</x:v>
      </x:c>
      <x:c r="I66" s="125">
        <x:f t="shared" si="9"/>
        <x:v>-169.3538586479828</x:v>
      </x:c>
      <x:c r="J66" s="125">
        <x:f t="shared" si="10"/>
        <x:v>0</x:v>
      </x:c>
    </x:row>
    <x:row r="67">
      <x:c r="A67" s="120">
        <x:f t="shared" si="1"/>
        <x:v>43</x:v>
      </x:c>
      <x:c r="B67" s="120">
        <x:f t="shared" si="2"/>
        <x:v>5</x:v>
      </x:c>
      <x:c r="C67" s="120">
        <x:f t="shared" si="3"/>
        <x:v>212.5</x:v>
      </x:c>
      <x:c r="D67" s="124">
        <x:f t="shared" si="4"/>
        <x:v>-1.5997384889773914E-2</x:v>
      </x:c>
      <x:c r="E67" s="120">
        <x:f t="shared" si="5"/>
        <x:v>0</x:v>
      </x:c>
      <x:c r="F67" s="120">
        <x:f t="shared" si="6"/>
        <x:v>0</x:v>
      </x:c>
      <x:c r="G67" s="120">
        <x:f t="shared" si="7"/>
        <x:v>0</x:v>
      </x:c>
      <x:c r="H67" s="120">
        <x:f t="shared" si="8"/>
        <x:v>0</x:v>
      </x:c>
      <x:c r="I67" s="125">
        <x:f t="shared" si="9"/>
        <x:v>-174.3538586479828</x:v>
      </x:c>
      <x:c r="J67" s="125">
        <x:f t="shared" si="10"/>
        <x:v>0</x:v>
      </x:c>
    </x:row>
    <x:row r="68">
      <x:c r="A68" s="120">
        <x:f t="shared" si="1"/>
        <x:v>44</x:v>
      </x:c>
      <x:c r="B68" s="120">
        <x:f t="shared" si="2"/>
        <x:v>5</x:v>
      </x:c>
      <x:c r="C68" s="120">
        <x:f t="shared" si="3"/>
        <x:v>217.5</x:v>
      </x:c>
      <x:c r="D68" s="124">
        <x:f t="shared" si="4"/>
        <x:v>-1.6456146887180358E-2</x:v>
      </x:c>
      <x:c r="E68" s="120">
        <x:f t="shared" si="5"/>
        <x:v>0</x:v>
      </x:c>
      <x:c r="F68" s="120">
        <x:f t="shared" si="6"/>
        <x:v>0</x:v>
      </x:c>
      <x:c r="G68" s="120">
        <x:f t="shared" si="7"/>
        <x:v>0</x:v>
      </x:c>
      <x:c r="H68" s="120">
        <x:f t="shared" si="8"/>
        <x:v>0</x:v>
      </x:c>
      <x:c r="I68" s="125">
        <x:f t="shared" si="9"/>
        <x:v>-179.3538586479828</x:v>
      </x:c>
      <x:c r="J68" s="125">
        <x:f t="shared" si="10"/>
        <x:v>0</x:v>
      </x:c>
    </x:row>
    <x:row r="69">
      <x:c r="A69" s="120">
        <x:f t="shared" si="1"/>
        <x:v>45</x:v>
      </x:c>
      <x:c r="B69" s="120">
        <x:f t="shared" si="2"/>
        <x:v>5</x:v>
      </x:c>
      <x:c r="C69" s="120">
        <x:f t="shared" si="3"/>
        <x:v>222.5</x:v>
      </x:c>
      <x:c r="D69" s="124">
        <x:f t="shared" si="4"/>
        <x:v>-1.6914908884586802E-2</x:v>
      </x:c>
      <x:c r="E69" s="120">
        <x:f t="shared" si="5"/>
        <x:v>0</x:v>
      </x:c>
      <x:c r="F69" s="120">
        <x:f t="shared" si="6"/>
        <x:v>0</x:v>
      </x:c>
      <x:c r="G69" s="120">
        <x:f t="shared" si="7"/>
        <x:v>0</x:v>
      </x:c>
      <x:c r="H69" s="120">
        <x:f t="shared" si="8"/>
        <x:v>0</x:v>
      </x:c>
      <x:c r="I69" s="125">
        <x:f t="shared" si="9"/>
        <x:v>-184.3538586479828</x:v>
      </x:c>
      <x:c r="J69" s="125">
        <x:f t="shared" si="10"/>
        <x:v>0</x:v>
      </x:c>
    </x:row>
    <x:row r="70">
      <x:c r="A70" s="120">
        <x:f t="shared" si="1"/>
        <x:v>46</x:v>
      </x:c>
      <x:c r="B70" s="120">
        <x:f t="shared" si="2"/>
        <x:v>5</x:v>
      </x:c>
      <x:c r="C70" s="120">
        <x:f t="shared" si="3"/>
        <x:v>227.5</x:v>
      </x:c>
      <x:c r="D70" s="124">
        <x:f t="shared" si="4"/>
        <x:v>-1.737367088199325E-2</x:v>
      </x:c>
      <x:c r="E70" s="120">
        <x:f t="shared" si="5"/>
        <x:v>0</x:v>
      </x:c>
      <x:c r="F70" s="120">
        <x:f t="shared" si="6"/>
        <x:v>0</x:v>
      </x:c>
      <x:c r="G70" s="120">
        <x:f t="shared" si="7"/>
        <x:v>0</x:v>
      </x:c>
      <x:c r="H70" s="120">
        <x:f t="shared" si="8"/>
        <x:v>0</x:v>
      </x:c>
      <x:c r="I70" s="125">
        <x:f t="shared" si="9"/>
        <x:v>-189.3538586479828</x:v>
      </x:c>
      <x:c r="J70" s="125">
        <x:f t="shared" si="10"/>
        <x:v>0</x:v>
      </x:c>
    </x:row>
    <x:row r="71">
      <x:c r="A71" s="120">
        <x:f t="shared" si="1"/>
        <x:v>47</x:v>
      </x:c>
      <x:c r="B71" s="120">
        <x:f t="shared" si="2"/>
        <x:v>5</x:v>
      </x:c>
      <x:c r="C71" s="120">
        <x:f t="shared" si="3"/>
        <x:v>232.5</x:v>
      </x:c>
      <x:c r="D71" s="124">
        <x:f t="shared" si="4"/>
        <x:v>-1.7832432879399694E-2</x:v>
      </x:c>
      <x:c r="E71" s="120">
        <x:f t="shared" si="5"/>
        <x:v>0</x:v>
      </x:c>
      <x:c r="F71" s="120">
        <x:f t="shared" si="6"/>
        <x:v>0</x:v>
      </x:c>
      <x:c r="G71" s="120">
        <x:f t="shared" si="7"/>
        <x:v>0</x:v>
      </x:c>
      <x:c r="H71" s="120">
        <x:f t="shared" si="8"/>
        <x:v>0</x:v>
      </x:c>
      <x:c r="I71" s="125">
        <x:f t="shared" si="9"/>
        <x:v>-194.3538586479828</x:v>
      </x:c>
      <x:c r="J71" s="125">
        <x:f t="shared" si="10"/>
        <x:v>0</x:v>
      </x:c>
    </x:row>
    <x:row r="72">
      <x:c r="A72" s="120">
        <x:f t="shared" si="1"/>
        <x:v>48</x:v>
      </x:c>
      <x:c r="B72" s="120">
        <x:f t="shared" si="2"/>
        <x:v>5</x:v>
      </x:c>
      <x:c r="C72" s="120">
        <x:f t="shared" si="3"/>
        <x:v>237.5</x:v>
      </x:c>
      <x:c r="D72" s="124">
        <x:f t="shared" si="4"/>
        <x:v>-1.8291194876806138E-2</x:v>
      </x:c>
      <x:c r="E72" s="120">
        <x:f t="shared" si="5"/>
        <x:v>0</x:v>
      </x:c>
      <x:c r="F72" s="120">
        <x:f t="shared" si="6"/>
        <x:v>0</x:v>
      </x:c>
      <x:c r="G72" s="120">
        <x:f t="shared" si="7"/>
        <x:v>0</x:v>
      </x:c>
      <x:c r="H72" s="120">
        <x:f t="shared" si="8"/>
        <x:v>0</x:v>
      </x:c>
      <x:c r="I72" s="125">
        <x:f t="shared" si="9"/>
        <x:v>-199.3538586479828</x:v>
      </x:c>
      <x:c r="J72" s="125">
        <x:f t="shared" si="10"/>
        <x:v>0</x:v>
      </x:c>
    </x:row>
    <x:row r="73">
      <x:c r="A73" s="120">
        <x:f t="shared" si="1"/>
        <x:v>49</x:v>
      </x:c>
      <x:c r="B73" s="120">
        <x:f t="shared" si="2"/>
        <x:v>5</x:v>
      </x:c>
      <x:c r="C73" s="120">
        <x:f t="shared" si="3"/>
        <x:v>242.5</x:v>
      </x:c>
      <x:c r="D73" s="124">
        <x:f t="shared" si="4"/>
        <x:v>-1.8749956874212582E-2</x:v>
      </x:c>
      <x:c r="E73" s="120">
        <x:f t="shared" si="5"/>
        <x:v>0</x:v>
      </x:c>
      <x:c r="F73" s="120">
        <x:f t="shared" si="6"/>
        <x:v>0</x:v>
      </x:c>
      <x:c r="G73" s="120">
        <x:f t="shared" si="7"/>
        <x:v>0</x:v>
      </x:c>
      <x:c r="H73" s="120">
        <x:f t="shared" si="8"/>
        <x:v>0</x:v>
      </x:c>
      <x:c r="I73" s="125">
        <x:f t="shared" si="9"/>
        <x:v>-204.3538586479828</x:v>
      </x:c>
      <x:c r="J73" s="125">
        <x:f t="shared" si="10"/>
        <x:v>0</x:v>
      </x:c>
    </x:row>
    <x:row r="74">
      <x:c r="A74" s="120">
        <x:f t="shared" si="1"/>
        <x:v>50</x:v>
      </x:c>
      <x:c r="B74" s="120">
        <x:f t="shared" si="2"/>
        <x:v>5</x:v>
      </x:c>
      <x:c r="C74" s="120">
        <x:f t="shared" si="3"/>
        <x:v>247.5</x:v>
      </x:c>
      <x:c r="D74" s="124">
        <x:f t="shared" si="4"/>
        <x:v>-1.9208718871619027E-2</x:v>
      </x:c>
      <x:c r="E74" s="120">
        <x:f t="shared" si="5"/>
        <x:v>0</x:v>
      </x:c>
      <x:c r="F74" s="120">
        <x:f t="shared" si="6"/>
        <x:v>0</x:v>
      </x:c>
      <x:c r="G74" s="120">
        <x:f t="shared" si="7"/>
        <x:v>0</x:v>
      </x:c>
      <x:c r="H74" s="120">
        <x:f t="shared" si="8"/>
        <x:v>0</x:v>
      </x:c>
      <x:c r="I74" s="125">
        <x:f t="shared" si="9"/>
        <x:v>-209.3538586479828</x:v>
      </x:c>
      <x:c r="J74" s="125">
        <x:f t="shared" si="10"/>
        <x:v>0</x:v>
      </x:c>
    </x:row>
    <x:row r="75">
      <x:c r="A75" s="120">
        <x:f t="shared" si="1"/>
        <x:v>51</x:v>
      </x:c>
      <x:c r="B75" s="120">
        <x:f t="shared" si="2"/>
        <x:v>5</x:v>
      </x:c>
      <x:c r="C75" s="120">
        <x:f t="shared" si="3"/>
        <x:v>252.5</x:v>
      </x:c>
      <x:c r="D75" s="124">
        <x:f t="shared" si="4"/>
        <x:v>-1.9667480869025471E-2</x:v>
      </x:c>
      <x:c r="E75" s="120">
        <x:f t="shared" si="5"/>
        <x:v>0</x:v>
      </x:c>
      <x:c r="F75" s="120">
        <x:f t="shared" si="6"/>
        <x:v>0</x:v>
      </x:c>
      <x:c r="G75" s="120">
        <x:f t="shared" si="7"/>
        <x:v>0</x:v>
      </x:c>
      <x:c r="H75" s="120">
        <x:f t="shared" si="8"/>
        <x:v>0</x:v>
      </x:c>
      <x:c r="I75" s="125">
        <x:f t="shared" si="9"/>
        <x:v>-214.3538586479828</x:v>
      </x:c>
      <x:c r="J75" s="125">
        <x:f t="shared" si="10"/>
        <x:v>0</x:v>
      </x:c>
    </x:row>
    <x:row r="76">
      <x:c r="A76" s="120">
        <x:f t="shared" si="1"/>
        <x:v>52</x:v>
      </x:c>
      <x:c r="B76" s="120">
        <x:f t="shared" si="2"/>
        <x:v>5</x:v>
      </x:c>
      <x:c r="C76" s="120">
        <x:f t="shared" si="3"/>
        <x:v>257.5</x:v>
      </x:c>
      <x:c r="D76" s="124">
        <x:f t="shared" si="4"/>
        <x:v>-2.0126242866431918E-2</x:v>
      </x:c>
      <x:c r="E76" s="120">
        <x:f t="shared" si="5"/>
        <x:v>0</x:v>
      </x:c>
      <x:c r="F76" s="120">
        <x:f t="shared" si="6"/>
        <x:v>0</x:v>
      </x:c>
      <x:c r="G76" s="120">
        <x:f t="shared" si="7"/>
        <x:v>0</x:v>
      </x:c>
      <x:c r="H76" s="120">
        <x:f t="shared" si="8"/>
        <x:v>0</x:v>
      </x:c>
      <x:c r="I76" s="125">
        <x:f t="shared" si="9"/>
        <x:v>-219.3538586479828</x:v>
      </x:c>
      <x:c r="J76" s="125">
        <x:f t="shared" si="10"/>
        <x:v>0</x:v>
      </x:c>
    </x:row>
    <x:row r="77">
      <x:c r="A77" s="120">
        <x:f t="shared" si="1"/>
        <x:v>53</x:v>
      </x:c>
      <x:c r="B77" s="120">
        <x:f t="shared" si="2"/>
        <x:v>5</x:v>
      </x:c>
      <x:c r="C77" s="120">
        <x:f t="shared" si="3"/>
        <x:v>262.5</x:v>
      </x:c>
      <x:c r="D77" s="124">
        <x:f t="shared" si="4"/>
        <x:v>-2.0585004863838362E-2</x:v>
      </x:c>
      <x:c r="E77" s="120">
        <x:f t="shared" si="5"/>
        <x:v>0</x:v>
      </x:c>
      <x:c r="F77" s="120">
        <x:f t="shared" si="6"/>
        <x:v>0</x:v>
      </x:c>
      <x:c r="G77" s="120">
        <x:f t="shared" si="7"/>
        <x:v>0</x:v>
      </x:c>
      <x:c r="H77" s="120">
        <x:f t="shared" si="8"/>
        <x:v>0</x:v>
      </x:c>
      <x:c r="I77" s="125">
        <x:f t="shared" si="9"/>
        <x:v>-224.3538586479828</x:v>
      </x:c>
      <x:c r="J77" s="125">
        <x:f t="shared" si="10"/>
        <x:v>0</x:v>
      </x:c>
    </x:row>
    <x:row r="78">
      <x:c r="A78" s="120">
        <x:f t="shared" si="1"/>
        <x:v>54</x:v>
      </x:c>
      <x:c r="B78" s="120">
        <x:f t="shared" si="2"/>
        <x:v>5</x:v>
      </x:c>
      <x:c r="C78" s="120">
        <x:f t="shared" si="3"/>
        <x:v>267.5</x:v>
      </x:c>
      <x:c r="D78" s="124">
        <x:f t="shared" si="4"/>
        <x:v>-2.104376686124481E-2</x:v>
      </x:c>
      <x:c r="E78" s="120">
        <x:f t="shared" si="5"/>
        <x:v>0</x:v>
      </x:c>
      <x:c r="F78" s="120">
        <x:f t="shared" si="6"/>
        <x:v>0</x:v>
      </x:c>
      <x:c r="G78" s="120">
        <x:f t="shared" si="7"/>
        <x:v>0</x:v>
      </x:c>
      <x:c r="H78" s="120">
        <x:f t="shared" si="8"/>
        <x:v>0</x:v>
      </x:c>
      <x:c r="I78" s="125">
        <x:f t="shared" si="9"/>
        <x:v>-229.3538586479828</x:v>
      </x:c>
      <x:c r="J78" s="125">
        <x:f t="shared" si="10"/>
        <x:v>0</x:v>
      </x:c>
    </x:row>
    <x:row r="79">
      <x:c r="A79" s="120">
        <x:f t="shared" si="1"/>
        <x:v>55</x:v>
      </x:c>
      <x:c r="B79" s="120">
        <x:f t="shared" si="2"/>
        <x:v>5</x:v>
      </x:c>
      <x:c r="C79" s="120">
        <x:f t="shared" si="3"/>
        <x:v>272.5</x:v>
      </x:c>
      <x:c r="D79" s="124">
        <x:f t="shared" si="4"/>
        <x:v>-2.1502528858651254E-2</x:v>
      </x:c>
      <x:c r="E79" s="120">
        <x:f t="shared" si="5"/>
        <x:v>0</x:v>
      </x:c>
      <x:c r="F79" s="120">
        <x:f t="shared" si="6"/>
        <x:v>0</x:v>
      </x:c>
      <x:c r="G79" s="120">
        <x:f t="shared" si="7"/>
        <x:v>0</x:v>
      </x:c>
      <x:c r="H79" s="120">
        <x:f t="shared" si="8"/>
        <x:v>0</x:v>
      </x:c>
      <x:c r="I79" s="125">
        <x:f t="shared" si="9"/>
        <x:v>-234.3538586479828</x:v>
      </x:c>
      <x:c r="J79" s="125">
        <x:f t="shared" si="10"/>
        <x:v>0</x:v>
      </x:c>
    </x:row>
    <x:row r="80">
      <x:c r="A80" s="120">
        <x:f t="shared" si="1"/>
        <x:v>56</x:v>
      </x:c>
      <x:c r="B80" s="120">
        <x:f t="shared" si="2"/>
        <x:v>5</x:v>
      </x:c>
      <x:c r="C80" s="120">
        <x:f t="shared" si="3"/>
        <x:v>277.5</x:v>
      </x:c>
      <x:c r="D80" s="124">
        <x:f t="shared" si="4"/>
        <x:v>-2.1961290856057698E-2</x:v>
      </x:c>
      <x:c r="E80" s="120">
        <x:f t="shared" si="5"/>
        <x:v>0</x:v>
      </x:c>
      <x:c r="F80" s="120">
        <x:f t="shared" si="6"/>
        <x:v>0</x:v>
      </x:c>
      <x:c r="G80" s="120">
        <x:f t="shared" si="7"/>
        <x:v>0</x:v>
      </x:c>
      <x:c r="H80" s="120">
        <x:f t="shared" si="8"/>
        <x:v>0</x:v>
      </x:c>
      <x:c r="I80" s="125">
        <x:f t="shared" si="9"/>
        <x:v>-239.3538586479828</x:v>
      </x:c>
      <x:c r="J80" s="125">
        <x:f t="shared" si="10"/>
        <x:v>0</x:v>
      </x:c>
    </x:row>
    <x:row r="81">
      <x:c r="A81" s="120">
        <x:f t="shared" si="1"/>
        <x:v>57</x:v>
      </x:c>
      <x:c r="B81" s="120">
        <x:f t="shared" si="2"/>
        <x:v>5</x:v>
      </x:c>
      <x:c r="C81" s="120">
        <x:f t="shared" si="3"/>
        <x:v>282.5</x:v>
      </x:c>
      <x:c r="D81" s="124">
        <x:f t="shared" si="4"/>
        <x:v>-2.2420052853464142E-2</x:v>
      </x:c>
      <x:c r="E81" s="120">
        <x:f t="shared" si="5"/>
        <x:v>0</x:v>
      </x:c>
      <x:c r="F81" s="120">
        <x:f t="shared" si="6"/>
        <x:v>0</x:v>
      </x:c>
      <x:c r="G81" s="120">
        <x:f t="shared" si="7"/>
        <x:v>0</x:v>
      </x:c>
      <x:c r="H81" s="120">
        <x:f t="shared" si="8"/>
        <x:v>0</x:v>
      </x:c>
      <x:c r="I81" s="125">
        <x:f t="shared" si="9"/>
        <x:v>-244.3538586479828</x:v>
      </x:c>
      <x:c r="J81" s="125">
        <x:f t="shared" si="10"/>
        <x:v>0</x:v>
      </x:c>
    </x:row>
    <x:row r="82">
      <x:c r="A82" s="120">
        <x:f t="shared" si="1"/>
        <x:v>58</x:v>
      </x:c>
      <x:c r="B82" s="120">
        <x:f t="shared" si="2"/>
        <x:v>5</x:v>
      </x:c>
      <x:c r="C82" s="120">
        <x:f t="shared" si="3"/>
        <x:v>287.5</x:v>
      </x:c>
      <x:c r="D82" s="124">
        <x:f t="shared" si="4"/>
        <x:v>-2.2878814850870587E-2</x:v>
      </x:c>
      <x:c r="E82" s="120">
        <x:f t="shared" si="5"/>
        <x:v>0</x:v>
      </x:c>
      <x:c r="F82" s="120">
        <x:f t="shared" si="6"/>
        <x:v>0</x:v>
      </x:c>
      <x:c r="G82" s="120">
        <x:f t="shared" si="7"/>
        <x:v>0</x:v>
      </x:c>
      <x:c r="H82" s="120">
        <x:f t="shared" si="8"/>
        <x:v>0</x:v>
      </x:c>
      <x:c r="I82" s="125">
        <x:f t="shared" si="9"/>
        <x:v>-249.3538586479828</x:v>
      </x:c>
      <x:c r="J82" s="125">
        <x:f t="shared" si="10"/>
        <x:v>0</x:v>
      </x:c>
    </x:row>
    <x:row r="83">
      <x:c r="A83" s="120">
        <x:f t="shared" si="1"/>
        <x:v>59</x:v>
      </x:c>
      <x:c r="B83" s="120">
        <x:f t="shared" si="2"/>
        <x:v>5</x:v>
      </x:c>
      <x:c r="C83" s="120">
        <x:f t="shared" si="3"/>
        <x:v>292.5</x:v>
      </x:c>
      <x:c r="D83" s="124">
        <x:f t="shared" si="4"/>
        <x:v>-2.3337576848277031E-2</x:v>
      </x:c>
      <x:c r="E83" s="120">
        <x:f t="shared" si="5"/>
        <x:v>0</x:v>
      </x:c>
      <x:c r="F83" s="120">
        <x:f t="shared" si="6"/>
        <x:v>0</x:v>
      </x:c>
      <x:c r="G83" s="120">
        <x:f t="shared" si="7"/>
        <x:v>0</x:v>
      </x:c>
      <x:c r="H83" s="120">
        <x:f t="shared" si="8"/>
        <x:v>0</x:v>
      </x:c>
      <x:c r="I83" s="125">
        <x:f t="shared" si="9"/>
        <x:v>-254.3538586479828</x:v>
      </x:c>
      <x:c r="J83" s="125">
        <x:f t="shared" si="10"/>
        <x:v>0</x:v>
      </x:c>
    </x:row>
    <x:row r="84">
      <x:c r="A84" s="120">
        <x:f t="shared" si="1"/>
        <x:v>60</x:v>
      </x:c>
      <x:c r="B84" s="120">
        <x:f t="shared" si="2"/>
        <x:v>5</x:v>
      </x:c>
      <x:c r="C84" s="120">
        <x:f t="shared" si="3"/>
        <x:v>297.5</x:v>
      </x:c>
      <x:c r="D84" s="124">
        <x:f t="shared" si="4"/>
        <x:v>-2.3796338845683478E-2</x:v>
      </x:c>
      <x:c r="E84" s="120">
        <x:f t="shared" si="5"/>
        <x:v>0</x:v>
      </x:c>
      <x:c r="F84" s="120">
        <x:f t="shared" si="6"/>
        <x:v>0</x:v>
      </x:c>
      <x:c r="G84" s="120">
        <x:f t="shared" si="7"/>
        <x:v>0</x:v>
      </x:c>
      <x:c r="H84" s="120">
        <x:f t="shared" si="8"/>
        <x:v>0</x:v>
      </x:c>
      <x:c r="I84" s="125">
        <x:f t="shared" si="9"/>
        <x:v>-259.3538586479828</x:v>
      </x:c>
      <x:c r="J84" s="125">
        <x:f t="shared" si="10"/>
        <x:v>0</x:v>
      </x:c>
    </x:row>
    <x:row r="85">
      <x:c r="A85" s="120">
        <x:f t="shared" si="1"/>
        <x:v>61</x:v>
      </x:c>
      <x:c r="B85" s="120">
        <x:f t="shared" si="2"/>
        <x:v>5</x:v>
      </x:c>
      <x:c r="C85" s="120">
        <x:f t="shared" si="3"/>
        <x:v>302.5</x:v>
      </x:c>
      <x:c r="D85" s="124">
        <x:f t="shared" si="4"/>
        <x:v>-2.4255100843089922E-2</x:v>
      </x:c>
      <x:c r="E85" s="120">
        <x:f t="shared" si="5"/>
        <x:v>0</x:v>
      </x:c>
      <x:c r="F85" s="120">
        <x:f t="shared" si="6"/>
        <x:v>0</x:v>
      </x:c>
      <x:c r="G85" s="120">
        <x:f t="shared" si="7"/>
        <x:v>0</x:v>
      </x:c>
      <x:c r="H85" s="120">
        <x:f t="shared" si="8"/>
        <x:v>0</x:v>
      </x:c>
      <x:c r="I85" s="125">
        <x:f t="shared" si="9"/>
        <x:v>-264.3538586479828</x:v>
      </x:c>
      <x:c r="J85" s="125">
        <x:f t="shared" si="10"/>
        <x:v>0</x:v>
      </x:c>
    </x:row>
    <x:row r="86">
      <x:c r="A86" s="120">
        <x:f t="shared" si="1"/>
        <x:v>62</x:v>
      </x:c>
      <x:c r="B86" s="120">
        <x:f t="shared" si="2"/>
        <x:v>5</x:v>
      </x:c>
      <x:c r="C86" s="120">
        <x:f t="shared" si="3"/>
        <x:v>307.5</x:v>
      </x:c>
      <x:c r="D86" s="124">
        <x:f t="shared" si="4"/>
        <x:v>-2.4713862840496367E-2</x:v>
      </x:c>
      <x:c r="E86" s="120">
        <x:f t="shared" si="5"/>
        <x:v>0</x:v>
      </x:c>
      <x:c r="F86" s="120">
        <x:f t="shared" si="6"/>
        <x:v>0</x:v>
      </x:c>
      <x:c r="G86" s="120">
        <x:f t="shared" si="7"/>
        <x:v>0</x:v>
      </x:c>
      <x:c r="H86" s="120">
        <x:f t="shared" si="8"/>
        <x:v>0</x:v>
      </x:c>
      <x:c r="I86" s="125">
        <x:f t="shared" si="9"/>
        <x:v>-269.3538586479828</x:v>
      </x:c>
      <x:c r="J86" s="125">
        <x:f t="shared" si="10"/>
        <x:v>0</x:v>
      </x:c>
    </x:row>
    <x:row r="87">
      <x:c r="A87" s="120">
        <x:f t="shared" si="1"/>
        <x:v>63</x:v>
      </x:c>
      <x:c r="B87" s="120">
        <x:f t="shared" si="2"/>
        <x:v>5</x:v>
      </x:c>
      <x:c r="C87" s="120">
        <x:f t="shared" si="3"/>
        <x:v>312.5</x:v>
      </x:c>
      <x:c r="D87" s="124">
        <x:f t="shared" si="4"/>
        <x:v>-2.5172624837902814E-2</x:v>
      </x:c>
      <x:c r="E87" s="120">
        <x:f t="shared" si="5"/>
        <x:v>0</x:v>
      </x:c>
      <x:c r="F87" s="120">
        <x:f t="shared" si="6"/>
        <x:v>0</x:v>
      </x:c>
      <x:c r="G87" s="120">
        <x:f t="shared" si="7"/>
        <x:v>0</x:v>
      </x:c>
      <x:c r="H87" s="120">
        <x:f t="shared" si="8"/>
        <x:v>0</x:v>
      </x:c>
      <x:c r="I87" s="125">
        <x:f t="shared" si="9"/>
        <x:v>-274.3538586479828</x:v>
      </x:c>
      <x:c r="J87" s="125">
        <x:f t="shared" si="10"/>
        <x:v>0</x:v>
      </x:c>
    </x:row>
    <x:row r="88">
      <x:c r="A88" s="120">
        <x:f t="shared" si="1"/>
        <x:v>64</x:v>
      </x:c>
      <x:c r="B88" s="120">
        <x:f t="shared" si="2"/>
        <x:v>5</x:v>
      </x:c>
      <x:c r="C88" s="120">
        <x:f t="shared" si="3"/>
        <x:v>317.5</x:v>
      </x:c>
      <x:c r="D88" s="124">
        <x:f t="shared" si="4"/>
        <x:v>-2.5631386835309258E-2</x:v>
      </x:c>
      <x:c r="E88" s="120">
        <x:f t="shared" si="5"/>
        <x:v>0</x:v>
      </x:c>
      <x:c r="F88" s="120">
        <x:f t="shared" si="6"/>
        <x:v>0</x:v>
      </x:c>
      <x:c r="G88" s="120">
        <x:f t="shared" si="7"/>
        <x:v>0</x:v>
      </x:c>
      <x:c r="H88" s="120">
        <x:f t="shared" si="8"/>
        <x:v>0</x:v>
      </x:c>
      <x:c r="I88" s="125">
        <x:f t="shared" si="9"/>
        <x:v>-279.3538586479828</x:v>
      </x:c>
      <x:c r="J88" s="125">
        <x:f t="shared" si="10"/>
        <x:v>0</x:v>
      </x:c>
    </x:row>
    <x:row r="89">
      <x:c r="A89" s="120">
        <x:f t="shared" si="1"/>
        <x:v>65</x:v>
      </x:c>
      <x:c r="B89" s="120">
        <x:f t="shared" si="2"/>
        <x:v>5</x:v>
      </x:c>
      <x:c r="C89" s="120">
        <x:f t="shared" si="3"/>
        <x:v>322.5</x:v>
      </x:c>
      <x:c r="D89" s="124">
        <x:f t="shared" si="4"/>
        <x:v>-2.6090148832715706E-2</x:v>
      </x:c>
      <x:c r="E89" s="120">
        <x:f t="shared" si="5"/>
        <x:v>0</x:v>
      </x:c>
      <x:c r="F89" s="120">
        <x:f t="shared" si="6"/>
        <x:v>0</x:v>
      </x:c>
      <x:c r="G89" s="120">
        <x:f t="shared" si="7"/>
        <x:v>0</x:v>
      </x:c>
      <x:c r="H89" s="120">
        <x:f t="shared" si="8"/>
        <x:v>0</x:v>
      </x:c>
      <x:c r="I89" s="125">
        <x:f t="shared" si="9"/>
        <x:v>-284.3538586479828</x:v>
      </x:c>
      <x:c r="J89" s="125">
        <x:f t="shared" si="10"/>
        <x:v>0</x:v>
      </x:c>
    </x:row>
    <x:row r="90">
      <x:c r="A90" s="120">
        <x:f t="shared" si="1"/>
        <x:v>66</x:v>
      </x:c>
      <x:c r="B90" s="120">
        <x:f t="shared" si="2"/>
        <x:v>5</x:v>
      </x:c>
      <x:c r="C90" s="120">
        <x:f t="shared" si="3"/>
        <x:v>327.5</x:v>
      </x:c>
      <x:c r="D90" s="124">
        <x:f t="shared" si="4"/>
        <x:v>-2.6548910830122147E-2</x:v>
      </x:c>
      <x:c r="E90" s="120">
        <x:f t="shared" si="5"/>
        <x:v>0</x:v>
      </x:c>
      <x:c r="F90" s="120">
        <x:f t="shared" si="6"/>
        <x:v>0</x:v>
      </x:c>
      <x:c r="G90" s="120">
        <x:f t="shared" si="7"/>
        <x:v>0</x:v>
      </x:c>
      <x:c r="H90" s="120">
        <x:f t="shared" si="8"/>
        <x:v>0</x:v>
      </x:c>
      <x:c r="I90" s="125">
        <x:f t="shared" si="9"/>
        <x:v>-289.3538586479828</x:v>
      </x:c>
      <x:c r="J90" s="125">
        <x:f t="shared" si="10"/>
        <x:v>0</x:v>
      </x:c>
    </x:row>
    <x:row r="91">
      <x:c r="A91" s="120">
        <x:f t="shared" si="1"/>
        <x:v>67</x:v>
      </x:c>
      <x:c r="B91" s="120">
        <x:f t="shared" si="2"/>
        <x:v>5</x:v>
      </x:c>
      <x:c r="C91" s="120">
        <x:f t="shared" si="3"/>
        <x:v>332.5</x:v>
      </x:c>
      <x:c r="D91" s="124">
        <x:f t="shared" si="4"/>
        <x:v>-2.7007672827528594E-2</x:v>
      </x:c>
      <x:c r="E91" s="120">
        <x:f t="shared" si="5"/>
        <x:v>0</x:v>
      </x:c>
      <x:c r="F91" s="120">
        <x:f t="shared" si="6"/>
        <x:v>0</x:v>
      </x:c>
      <x:c r="G91" s="120">
        <x:f t="shared" si="7"/>
        <x:v>0</x:v>
      </x:c>
      <x:c r="H91" s="120">
        <x:f t="shared" si="8"/>
        <x:v>0</x:v>
      </x:c>
      <x:c r="I91" s="125">
        <x:f t="shared" si="9"/>
        <x:v>-294.3538586479828</x:v>
      </x:c>
      <x:c r="J91" s="125">
        <x:f t="shared" si="10"/>
        <x:v>0</x:v>
      </x:c>
    </x:row>
    <x:row r="92">
      <x:c r="A92" s="120">
        <x:f t="shared" si="1"/>
        <x:v>68</x:v>
      </x:c>
      <x:c r="B92" s="120">
        <x:f t="shared" si="2"/>
        <x:v>5</x:v>
      </x:c>
      <x:c r="C92" s="120">
        <x:f t="shared" si="3"/>
        <x:v>337.5</x:v>
      </x:c>
      <x:c r="D92" s="124">
        <x:f t="shared" si="4"/>
        <x:v>-2.7466434824935035E-2</x:v>
      </x:c>
      <x:c r="E92" s="120">
        <x:f t="shared" si="5"/>
        <x:v>0</x:v>
      </x:c>
      <x:c r="F92" s="120">
        <x:f t="shared" si="6"/>
        <x:v>0</x:v>
      </x:c>
      <x:c r="G92" s="120">
        <x:f t="shared" si="7"/>
        <x:v>0</x:v>
      </x:c>
      <x:c r="H92" s="120">
        <x:f t="shared" si="8"/>
        <x:v>0</x:v>
      </x:c>
      <x:c r="I92" s="125">
        <x:f t="shared" si="9"/>
        <x:v>-299.3538586479828</x:v>
      </x:c>
      <x:c r="J92" s="125">
        <x:f t="shared" si="10"/>
        <x:v>0</x:v>
      </x:c>
    </x:row>
    <x:row r="93">
      <x:c r="A93" s="120">
        <x:f t="shared" si="1"/>
        <x:v>69</x:v>
      </x:c>
      <x:c r="B93" s="120">
        <x:f t="shared" si="2"/>
        <x:v>5</x:v>
      </x:c>
      <x:c r="C93" s="120">
        <x:f t="shared" si="3"/>
        <x:v>342.5</x:v>
      </x:c>
      <x:c r="D93" s="124">
        <x:f t="shared" si="4"/>
        <x:v>-2.7925196822341482E-2</x:v>
      </x:c>
      <x:c r="E93" s="120">
        <x:f t="shared" si="5"/>
        <x:v>0</x:v>
      </x:c>
      <x:c r="F93" s="120">
        <x:f t="shared" si="6"/>
        <x:v>0</x:v>
      </x:c>
      <x:c r="G93" s="120">
        <x:f t="shared" si="7"/>
        <x:v>0</x:v>
      </x:c>
      <x:c r="H93" s="120">
        <x:f t="shared" si="8"/>
        <x:v>0</x:v>
      </x:c>
      <x:c r="I93" s="125">
        <x:f t="shared" si="9"/>
        <x:v>-304.3538586479828</x:v>
      </x:c>
      <x:c r="J93" s="125">
        <x:f t="shared" si="10"/>
        <x:v>0</x:v>
      </x:c>
    </x:row>
    <x:row r="94">
      <x:c r="A94" s="103">
        <x:f t="shared" si="1"/>
        <x:v>70</x:v>
      </x:c>
      <x:c r="B94" s="103">
        <x:f t="shared" si="2"/>
        <x:v>5</x:v>
      </x:c>
      <x:c r="C94" s="103">
        <x:f t="shared" si="3"/>
        <x:v>347.5</x:v>
      </x:c>
      <x:c r="D94" s="134">
        <x:f t="shared" si="4"/>
        <x:v>-2.838395881974793E-2</x:v>
      </x:c>
      <x:c r="E94" s="103">
        <x:f t="shared" si="5"/>
        <x:v>0</x:v>
      </x:c>
      <x:c r="F94" s="103">
        <x:f t="shared" si="6"/>
        <x:v>0</x:v>
      </x:c>
      <x:c r="G94" s="103">
        <x:f t="shared" si="7"/>
        <x:v>0</x:v>
      </x:c>
      <x:c r="H94" s="103">
        <x:f t="shared" si="8"/>
        <x:v>0</x:v>
      </x:c>
      <x:c r="I94" s="135">
        <x:f t="shared" si="9"/>
        <x:v>-309.3538586479828</x:v>
      </x:c>
      <x:c r="J94" s="135">
        <x:f t="shared" si="10"/>
        <x:v>0</x:v>
      </x:c>
    </x:row>
    <x:row r="95">
      <x:c r="D95" s="136"/>
    </x:row>
  </x:sheetData>
  <x:mergeCells>
    <x:mergeCell ref="F14:G14"/>
    <x:mergeCell ref="A15:B15"/>
    <x:mergeCell ref="A1:G1"/>
    <x:mergeCell ref="A2:B2"/>
    <x:mergeCell ref="C2:D2"/>
    <x:mergeCell ref="A6:B6"/>
    <x:mergeCell ref="F6:H6"/>
    <x:mergeCell ref="F7:G7"/>
    <x:mergeCell ref="F8:G8"/>
    <x:mergeCell ref="F9:G9"/>
    <x:mergeCell ref="F10:G10"/>
    <x:mergeCell ref="F11:G11"/>
    <x:mergeCell ref="F12:G12"/>
    <x:mergeCell ref="F13:G13"/>
  </x:mergeCells>
  <x:pageMargins left="0.7" right="0.7" top="0.75" bottom="0.75" header="0.3" footer="0.3"/>
</x:worksheet>
</file>