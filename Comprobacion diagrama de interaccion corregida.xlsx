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24b372e43a83242/Desktop/ing/MCOC/P1-Caceres-JuanPablo/"/>
    </mc:Choice>
  </mc:AlternateContent>
  <xr:revisionPtr revIDLastSave="4" documentId="11_E782ADFD4248BEB8106E439A1B7027AAB7FA664E" xr6:coauthVersionLast="47" xr6:coauthVersionMax="47" xr10:uidLastSave="{D0896A57-9DA3-4770-89DD-EC0E10513F75}"/>
  <bookViews>
    <workbookView xWindow="-120" yWindow="-120" windowWidth="29040" windowHeight="15720" xr2:uid="{00000000-000D-0000-FFFF-FFFF00000000}"/>
  </bookViews>
  <sheets>
    <sheet name="Pregunta 2" sheetId="1" r:id="rId1"/>
    <sheet name="Pregunta 3.A-G" sheetId="2" r:id="rId2"/>
    <sheet name="Pregunta 3.B" sheetId="3" r:id="rId3"/>
    <sheet name="Pregunta 3.C" sheetId="4" r:id="rId4"/>
    <sheet name="Pregunta 3.D" sheetId="5" r:id="rId5"/>
    <sheet name="Pregunta 3.E" sheetId="6" r:id="rId6"/>
    <sheet name="Pregunta 3.F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7" l="1"/>
  <c r="A94" i="7"/>
  <c r="C94" i="7" s="1"/>
  <c r="C93" i="7"/>
  <c r="B93" i="7"/>
  <c r="A93" i="7"/>
  <c r="I92" i="7"/>
  <c r="B92" i="7"/>
  <c r="A92" i="7"/>
  <c r="C92" i="7" s="1"/>
  <c r="D92" i="7" s="1"/>
  <c r="C91" i="7"/>
  <c r="B91" i="7"/>
  <c r="A91" i="7"/>
  <c r="I90" i="7"/>
  <c r="E90" i="7"/>
  <c r="G90" i="7" s="1"/>
  <c r="H90" i="7" s="1"/>
  <c r="C90" i="7"/>
  <c r="D90" i="7" s="1"/>
  <c r="F90" i="7" s="1"/>
  <c r="B90" i="7"/>
  <c r="A90" i="7"/>
  <c r="I89" i="7"/>
  <c r="C89" i="7"/>
  <c r="D89" i="7" s="1"/>
  <c r="F89" i="7" s="1"/>
  <c r="B89" i="7"/>
  <c r="A89" i="7"/>
  <c r="C88" i="7"/>
  <c r="I88" i="7" s="1"/>
  <c r="B88" i="7"/>
  <c r="A88" i="7"/>
  <c r="B87" i="7"/>
  <c r="A87" i="7"/>
  <c r="C87" i="7" s="1"/>
  <c r="I86" i="7"/>
  <c r="C86" i="7"/>
  <c r="D86" i="7" s="1"/>
  <c r="B86" i="7"/>
  <c r="A86" i="7"/>
  <c r="B85" i="7"/>
  <c r="A85" i="7"/>
  <c r="C85" i="7" s="1"/>
  <c r="I84" i="7"/>
  <c r="G84" i="7"/>
  <c r="H84" i="7" s="1"/>
  <c r="E84" i="7"/>
  <c r="B84" i="7"/>
  <c r="A84" i="7"/>
  <c r="C84" i="7" s="1"/>
  <c r="D84" i="7" s="1"/>
  <c r="F84" i="7" s="1"/>
  <c r="I83" i="7"/>
  <c r="F83" i="7"/>
  <c r="E83" i="7"/>
  <c r="G83" i="7" s="1"/>
  <c r="H83" i="7" s="1"/>
  <c r="J83" i="7" s="1"/>
  <c r="B83" i="7"/>
  <c r="A83" i="7"/>
  <c r="C83" i="7" s="1"/>
  <c r="D83" i="7" s="1"/>
  <c r="C82" i="7"/>
  <c r="B82" i="7"/>
  <c r="A82" i="7"/>
  <c r="I81" i="7"/>
  <c r="C81" i="7"/>
  <c r="D81" i="7" s="1"/>
  <c r="B81" i="7"/>
  <c r="A81" i="7"/>
  <c r="D80" i="7"/>
  <c r="F80" i="7" s="1"/>
  <c r="C80" i="7"/>
  <c r="I80" i="7" s="1"/>
  <c r="B80" i="7"/>
  <c r="A80" i="7"/>
  <c r="B79" i="7"/>
  <c r="A79" i="7"/>
  <c r="C79" i="7" s="1"/>
  <c r="I78" i="7"/>
  <c r="C78" i="7"/>
  <c r="D78" i="7" s="1"/>
  <c r="B78" i="7"/>
  <c r="A78" i="7"/>
  <c r="B77" i="7"/>
  <c r="A77" i="7"/>
  <c r="C77" i="7" s="1"/>
  <c r="D77" i="7" s="1"/>
  <c r="B76" i="7"/>
  <c r="A76" i="7"/>
  <c r="C76" i="7" s="1"/>
  <c r="I75" i="7"/>
  <c r="F75" i="7"/>
  <c r="E75" i="7"/>
  <c r="G75" i="7" s="1"/>
  <c r="H75" i="7" s="1"/>
  <c r="J75" i="7" s="1"/>
  <c r="B75" i="7"/>
  <c r="A75" i="7"/>
  <c r="C75" i="7" s="1"/>
  <c r="D75" i="7" s="1"/>
  <c r="C74" i="7"/>
  <c r="B74" i="7"/>
  <c r="A74" i="7"/>
  <c r="C73" i="7"/>
  <c r="B73" i="7"/>
  <c r="A73" i="7"/>
  <c r="B72" i="7"/>
  <c r="A72" i="7"/>
  <c r="C72" i="7" s="1"/>
  <c r="I72" i="7" s="1"/>
  <c r="B71" i="7"/>
  <c r="A71" i="7"/>
  <c r="C71" i="7" s="1"/>
  <c r="I70" i="7"/>
  <c r="B70" i="7"/>
  <c r="A70" i="7"/>
  <c r="C70" i="7" s="1"/>
  <c r="D70" i="7" s="1"/>
  <c r="B69" i="7"/>
  <c r="A69" i="7"/>
  <c r="C69" i="7" s="1"/>
  <c r="I68" i="7"/>
  <c r="B68" i="7"/>
  <c r="A68" i="7"/>
  <c r="C68" i="7" s="1"/>
  <c r="D68" i="7" s="1"/>
  <c r="I67" i="7"/>
  <c r="F67" i="7"/>
  <c r="G67" i="7" s="1"/>
  <c r="H67" i="7" s="1"/>
  <c r="J67" i="7" s="1"/>
  <c r="E67" i="7"/>
  <c r="B67" i="7"/>
  <c r="A67" i="7"/>
  <c r="C67" i="7" s="1"/>
  <c r="D67" i="7" s="1"/>
  <c r="C66" i="7"/>
  <c r="D66" i="7" s="1"/>
  <c r="F66" i="7" s="1"/>
  <c r="B66" i="7"/>
  <c r="A66" i="7"/>
  <c r="C65" i="7"/>
  <c r="B65" i="7"/>
  <c r="A65" i="7"/>
  <c r="B64" i="7"/>
  <c r="A64" i="7"/>
  <c r="C64" i="7" s="1"/>
  <c r="C63" i="7"/>
  <c r="B63" i="7"/>
  <c r="A63" i="7"/>
  <c r="B62" i="7"/>
  <c r="A62" i="7"/>
  <c r="C62" i="7" s="1"/>
  <c r="I61" i="7"/>
  <c r="B61" i="7"/>
  <c r="A61" i="7"/>
  <c r="C61" i="7" s="1"/>
  <c r="D61" i="7" s="1"/>
  <c r="B60" i="7"/>
  <c r="A60" i="7"/>
  <c r="C60" i="7" s="1"/>
  <c r="I59" i="7"/>
  <c r="F59" i="7"/>
  <c r="B59" i="7"/>
  <c r="A59" i="7"/>
  <c r="C59" i="7" s="1"/>
  <c r="D59" i="7" s="1"/>
  <c r="E59" i="7" s="1"/>
  <c r="E58" i="7"/>
  <c r="G58" i="7" s="1"/>
  <c r="H58" i="7" s="1"/>
  <c r="C58" i="7"/>
  <c r="D58" i="7" s="1"/>
  <c r="F58" i="7" s="1"/>
  <c r="B58" i="7"/>
  <c r="A58" i="7"/>
  <c r="C57" i="7"/>
  <c r="D57" i="7" s="1"/>
  <c r="F57" i="7" s="1"/>
  <c r="B57" i="7"/>
  <c r="A57" i="7"/>
  <c r="C56" i="7"/>
  <c r="B56" i="7"/>
  <c r="A56" i="7"/>
  <c r="C55" i="7"/>
  <c r="B55" i="7"/>
  <c r="A55" i="7"/>
  <c r="B54" i="7"/>
  <c r="A54" i="7"/>
  <c r="C54" i="7" s="1"/>
  <c r="I53" i="7"/>
  <c r="B53" i="7"/>
  <c r="A53" i="7"/>
  <c r="C53" i="7" s="1"/>
  <c r="D53" i="7" s="1"/>
  <c r="B52" i="7"/>
  <c r="A52" i="7"/>
  <c r="C52" i="7" s="1"/>
  <c r="B51" i="7"/>
  <c r="A51" i="7"/>
  <c r="C51" i="7" s="1"/>
  <c r="D51" i="7" s="1"/>
  <c r="I50" i="7"/>
  <c r="E50" i="7"/>
  <c r="G50" i="7" s="1"/>
  <c r="H50" i="7" s="1"/>
  <c r="J50" i="7" s="1"/>
  <c r="C50" i="7"/>
  <c r="D50" i="7" s="1"/>
  <c r="F50" i="7" s="1"/>
  <c r="B50" i="7"/>
  <c r="A50" i="7"/>
  <c r="C49" i="7"/>
  <c r="B49" i="7"/>
  <c r="A49" i="7"/>
  <c r="B48" i="7"/>
  <c r="A48" i="7"/>
  <c r="C48" i="7" s="1"/>
  <c r="C47" i="7"/>
  <c r="B47" i="7"/>
  <c r="A47" i="7"/>
  <c r="B46" i="7"/>
  <c r="A46" i="7"/>
  <c r="C46" i="7" s="1"/>
  <c r="I45" i="7"/>
  <c r="B45" i="7"/>
  <c r="A45" i="7"/>
  <c r="C45" i="7" s="1"/>
  <c r="D45" i="7" s="1"/>
  <c r="E44" i="7"/>
  <c r="G44" i="7" s="1"/>
  <c r="H44" i="7" s="1"/>
  <c r="B44" i="7"/>
  <c r="A44" i="7"/>
  <c r="C44" i="7" s="1"/>
  <c r="D44" i="7" s="1"/>
  <c r="F44" i="7" s="1"/>
  <c r="I43" i="7"/>
  <c r="E43" i="7"/>
  <c r="G43" i="7" s="1"/>
  <c r="H43" i="7" s="1"/>
  <c r="J43" i="7" s="1"/>
  <c r="B43" i="7"/>
  <c r="A43" i="7"/>
  <c r="C43" i="7" s="1"/>
  <c r="D43" i="7" s="1"/>
  <c r="F43" i="7" s="1"/>
  <c r="I42" i="7"/>
  <c r="C42" i="7"/>
  <c r="D42" i="7" s="1"/>
  <c r="F42" i="7" s="1"/>
  <c r="B42" i="7"/>
  <c r="A42" i="7"/>
  <c r="C41" i="7"/>
  <c r="D41" i="7" s="1"/>
  <c r="F41" i="7" s="1"/>
  <c r="B41" i="7"/>
  <c r="A41" i="7"/>
  <c r="D40" i="7"/>
  <c r="C40" i="7"/>
  <c r="I40" i="7" s="1"/>
  <c r="B40" i="7"/>
  <c r="A40" i="7"/>
  <c r="B39" i="7"/>
  <c r="A39" i="7"/>
  <c r="C39" i="7" s="1"/>
  <c r="I38" i="7"/>
  <c r="C38" i="7"/>
  <c r="D38" i="7" s="1"/>
  <c r="B38" i="7"/>
  <c r="A38" i="7"/>
  <c r="B37" i="7"/>
  <c r="A37" i="7"/>
  <c r="C37" i="7" s="1"/>
  <c r="I36" i="7"/>
  <c r="E36" i="7"/>
  <c r="B36" i="7"/>
  <c r="A36" i="7"/>
  <c r="C36" i="7" s="1"/>
  <c r="D36" i="7" s="1"/>
  <c r="B35" i="7"/>
  <c r="A35" i="7"/>
  <c r="C35" i="7" s="1"/>
  <c r="I34" i="7"/>
  <c r="C34" i="7"/>
  <c r="D34" i="7" s="1"/>
  <c r="B34" i="7"/>
  <c r="A34" i="7"/>
  <c r="I33" i="7"/>
  <c r="E33" i="7"/>
  <c r="C33" i="7"/>
  <c r="D33" i="7" s="1"/>
  <c r="B33" i="7"/>
  <c r="A33" i="7"/>
  <c r="C32" i="7"/>
  <c r="I32" i="7" s="1"/>
  <c r="B32" i="7"/>
  <c r="A32" i="7"/>
  <c r="B31" i="7"/>
  <c r="A31" i="7"/>
  <c r="C31" i="7" s="1"/>
  <c r="B30" i="7"/>
  <c r="A30" i="7"/>
  <c r="C30" i="7" s="1"/>
  <c r="B29" i="7"/>
  <c r="A29" i="7"/>
  <c r="C29" i="7" s="1"/>
  <c r="S28" i="7"/>
  <c r="Q28" i="7"/>
  <c r="R28" i="7" s="1"/>
  <c r="O28" i="7"/>
  <c r="P28" i="7" s="1"/>
  <c r="M28" i="7"/>
  <c r="C28" i="7"/>
  <c r="I28" i="7" s="1"/>
  <c r="B28" i="7"/>
  <c r="A28" i="7"/>
  <c r="M27" i="7"/>
  <c r="B27" i="7"/>
  <c r="A27" i="7"/>
  <c r="C27" i="7" s="1"/>
  <c r="M26" i="7"/>
  <c r="L26" i="7"/>
  <c r="I26" i="7"/>
  <c r="F26" i="7"/>
  <c r="D26" i="7"/>
  <c r="E26" i="7" s="1"/>
  <c r="B26" i="7"/>
  <c r="A26" i="7"/>
  <c r="C26" i="7" s="1"/>
  <c r="M25" i="7"/>
  <c r="L25" i="7"/>
  <c r="D25" i="7"/>
  <c r="C25" i="7"/>
  <c r="I25" i="7" s="1"/>
  <c r="B25" i="7"/>
  <c r="A25" i="7"/>
  <c r="B20" i="7"/>
  <c r="N28" i="7" s="1"/>
  <c r="B19" i="7"/>
  <c r="N27" i="7" s="1"/>
  <c r="B18" i="7"/>
  <c r="N26" i="7" s="1"/>
  <c r="D17" i="7"/>
  <c r="B17" i="7"/>
  <c r="B21" i="7" s="1"/>
  <c r="B16" i="7"/>
  <c r="D14" i="7"/>
  <c r="B14" i="7"/>
  <c r="B9" i="7"/>
  <c r="B13" i="7" s="1"/>
  <c r="D5" i="7"/>
  <c r="C94" i="6"/>
  <c r="B94" i="6"/>
  <c r="A94" i="6"/>
  <c r="C93" i="6"/>
  <c r="B93" i="6"/>
  <c r="A93" i="6"/>
  <c r="I92" i="6"/>
  <c r="B92" i="6"/>
  <c r="A92" i="6"/>
  <c r="C92" i="6" s="1"/>
  <c r="B91" i="6"/>
  <c r="A91" i="6"/>
  <c r="C91" i="6" s="1"/>
  <c r="I90" i="6"/>
  <c r="B90" i="6"/>
  <c r="A90" i="6"/>
  <c r="C90" i="6" s="1"/>
  <c r="B89" i="6"/>
  <c r="A89" i="6"/>
  <c r="C89" i="6" s="1"/>
  <c r="B88" i="6"/>
  <c r="A88" i="6"/>
  <c r="C88" i="6" s="1"/>
  <c r="D87" i="6"/>
  <c r="B87" i="6"/>
  <c r="A87" i="6"/>
  <c r="C87" i="6" s="1"/>
  <c r="C86" i="6"/>
  <c r="B86" i="6"/>
  <c r="A86" i="6"/>
  <c r="B85" i="6"/>
  <c r="A85" i="6"/>
  <c r="C85" i="6" s="1"/>
  <c r="C84" i="6"/>
  <c r="B84" i="6"/>
  <c r="A84" i="6"/>
  <c r="C83" i="6"/>
  <c r="D83" i="6" s="1"/>
  <c r="B83" i="6"/>
  <c r="A83" i="6"/>
  <c r="C82" i="6"/>
  <c r="B82" i="6"/>
  <c r="A82" i="6"/>
  <c r="I81" i="6"/>
  <c r="B81" i="6"/>
  <c r="A81" i="6"/>
  <c r="C81" i="6" s="1"/>
  <c r="B80" i="6"/>
  <c r="A80" i="6"/>
  <c r="C80" i="6" s="1"/>
  <c r="I79" i="6"/>
  <c r="B79" i="6"/>
  <c r="A79" i="6"/>
  <c r="C79" i="6" s="1"/>
  <c r="D78" i="6"/>
  <c r="C78" i="6"/>
  <c r="B78" i="6"/>
  <c r="A78" i="6"/>
  <c r="I77" i="6"/>
  <c r="B77" i="6"/>
  <c r="A77" i="6"/>
  <c r="C77" i="6" s="1"/>
  <c r="B76" i="6"/>
  <c r="A76" i="6"/>
  <c r="C76" i="6" s="1"/>
  <c r="B75" i="6"/>
  <c r="A75" i="6"/>
  <c r="C75" i="6" s="1"/>
  <c r="C74" i="6"/>
  <c r="B74" i="6"/>
  <c r="A74" i="6"/>
  <c r="B73" i="6"/>
  <c r="A73" i="6"/>
  <c r="C73" i="6" s="1"/>
  <c r="B72" i="6"/>
  <c r="A72" i="6"/>
  <c r="C72" i="6" s="1"/>
  <c r="I72" i="6" s="1"/>
  <c r="D71" i="6"/>
  <c r="B71" i="6"/>
  <c r="A71" i="6"/>
  <c r="C71" i="6" s="1"/>
  <c r="C70" i="6"/>
  <c r="B70" i="6"/>
  <c r="A70" i="6"/>
  <c r="B69" i="6"/>
  <c r="A69" i="6"/>
  <c r="C69" i="6" s="1"/>
  <c r="I68" i="6"/>
  <c r="C68" i="6"/>
  <c r="B68" i="6"/>
  <c r="A68" i="6"/>
  <c r="D67" i="6"/>
  <c r="C67" i="6"/>
  <c r="B67" i="6"/>
  <c r="A67" i="6"/>
  <c r="C66" i="6"/>
  <c r="B66" i="6"/>
  <c r="A66" i="6"/>
  <c r="I65" i="6"/>
  <c r="B65" i="6"/>
  <c r="A65" i="6"/>
  <c r="C65" i="6" s="1"/>
  <c r="B64" i="6"/>
  <c r="A64" i="6"/>
  <c r="C64" i="6" s="1"/>
  <c r="I63" i="6"/>
  <c r="B63" i="6"/>
  <c r="A63" i="6"/>
  <c r="C63" i="6" s="1"/>
  <c r="C62" i="6"/>
  <c r="B62" i="6"/>
  <c r="A62" i="6"/>
  <c r="I61" i="6"/>
  <c r="B61" i="6"/>
  <c r="A61" i="6"/>
  <c r="C61" i="6" s="1"/>
  <c r="B60" i="6"/>
  <c r="A60" i="6"/>
  <c r="C60" i="6" s="1"/>
  <c r="B59" i="6"/>
  <c r="A59" i="6"/>
  <c r="C59" i="6" s="1"/>
  <c r="C58" i="6"/>
  <c r="B58" i="6"/>
  <c r="A58" i="6"/>
  <c r="B57" i="6"/>
  <c r="A57" i="6"/>
  <c r="C57" i="6" s="1"/>
  <c r="B56" i="6"/>
  <c r="A56" i="6"/>
  <c r="C56" i="6" s="1"/>
  <c r="E55" i="6"/>
  <c r="D55" i="6"/>
  <c r="C55" i="6"/>
  <c r="B55" i="6"/>
  <c r="A55" i="6"/>
  <c r="B54" i="6"/>
  <c r="A54" i="6"/>
  <c r="C54" i="6" s="1"/>
  <c r="D53" i="6"/>
  <c r="B53" i="6"/>
  <c r="A53" i="6"/>
  <c r="C53" i="6" s="1"/>
  <c r="D52" i="6"/>
  <c r="B52" i="6"/>
  <c r="A52" i="6"/>
  <c r="C52" i="6" s="1"/>
  <c r="C51" i="6"/>
  <c r="B51" i="6"/>
  <c r="A51" i="6"/>
  <c r="B50" i="6"/>
  <c r="A50" i="6"/>
  <c r="C50" i="6" s="1"/>
  <c r="D49" i="6"/>
  <c r="B49" i="6"/>
  <c r="A49" i="6"/>
  <c r="C49" i="6" s="1"/>
  <c r="B48" i="6"/>
  <c r="A48" i="6"/>
  <c r="C48" i="6" s="1"/>
  <c r="C47" i="6"/>
  <c r="B47" i="6"/>
  <c r="A47" i="6"/>
  <c r="B46" i="6"/>
  <c r="A46" i="6"/>
  <c r="C46" i="6" s="1"/>
  <c r="B45" i="6"/>
  <c r="A45" i="6"/>
  <c r="C45" i="6" s="1"/>
  <c r="B44" i="6"/>
  <c r="A44" i="6"/>
  <c r="C44" i="6" s="1"/>
  <c r="D44" i="6" s="1"/>
  <c r="D43" i="6"/>
  <c r="C43" i="6"/>
  <c r="B43" i="6"/>
  <c r="A43" i="6"/>
  <c r="B42" i="6"/>
  <c r="A42" i="6"/>
  <c r="C42" i="6" s="1"/>
  <c r="C41" i="6"/>
  <c r="I41" i="6" s="1"/>
  <c r="B41" i="6"/>
  <c r="A41" i="6"/>
  <c r="B40" i="6"/>
  <c r="A40" i="6"/>
  <c r="C40" i="6" s="1"/>
  <c r="D40" i="6" s="1"/>
  <c r="B39" i="6"/>
  <c r="A39" i="6"/>
  <c r="C39" i="6" s="1"/>
  <c r="B38" i="6"/>
  <c r="A38" i="6"/>
  <c r="C38" i="6" s="1"/>
  <c r="D37" i="6"/>
  <c r="C37" i="6"/>
  <c r="B37" i="6"/>
  <c r="A37" i="6"/>
  <c r="C36" i="6"/>
  <c r="B36" i="6"/>
  <c r="A36" i="6"/>
  <c r="I35" i="6"/>
  <c r="F35" i="6"/>
  <c r="D35" i="6"/>
  <c r="E35" i="6" s="1"/>
  <c r="G35" i="6" s="1"/>
  <c r="H35" i="6" s="1"/>
  <c r="J35" i="6" s="1"/>
  <c r="B35" i="6"/>
  <c r="A35" i="6"/>
  <c r="C35" i="6" s="1"/>
  <c r="B34" i="6"/>
  <c r="A34" i="6"/>
  <c r="C34" i="6" s="1"/>
  <c r="I33" i="6"/>
  <c r="C33" i="6"/>
  <c r="B33" i="6"/>
  <c r="A33" i="6"/>
  <c r="I32" i="6"/>
  <c r="D32" i="6"/>
  <c r="B32" i="6"/>
  <c r="A32" i="6"/>
  <c r="C32" i="6" s="1"/>
  <c r="D31" i="6"/>
  <c r="B31" i="6"/>
  <c r="A31" i="6"/>
  <c r="C31" i="6" s="1"/>
  <c r="B30" i="6"/>
  <c r="A30" i="6"/>
  <c r="C30" i="6" s="1"/>
  <c r="D29" i="6"/>
  <c r="C29" i="6"/>
  <c r="B29" i="6"/>
  <c r="A29" i="6"/>
  <c r="O28" i="6"/>
  <c r="M28" i="6"/>
  <c r="C28" i="6"/>
  <c r="D28" i="6" s="1"/>
  <c r="B28" i="6"/>
  <c r="A28" i="6"/>
  <c r="N27" i="6"/>
  <c r="M27" i="6"/>
  <c r="D27" i="6"/>
  <c r="C27" i="6"/>
  <c r="B27" i="6"/>
  <c r="A27" i="6"/>
  <c r="R26" i="6"/>
  <c r="T26" i="6" s="1"/>
  <c r="P26" i="6"/>
  <c r="Q26" i="6" s="1"/>
  <c r="O26" i="6"/>
  <c r="S26" i="6" s="1"/>
  <c r="M26" i="6"/>
  <c r="L26" i="6"/>
  <c r="C26" i="6"/>
  <c r="D26" i="6" s="1"/>
  <c r="B26" i="6"/>
  <c r="A26" i="6"/>
  <c r="S25" i="6"/>
  <c r="O25" i="6"/>
  <c r="M25" i="6"/>
  <c r="L25" i="6"/>
  <c r="C25" i="6"/>
  <c r="B25" i="6"/>
  <c r="A25" i="6"/>
  <c r="B20" i="6"/>
  <c r="N28" i="6" s="1"/>
  <c r="B19" i="6"/>
  <c r="B18" i="6"/>
  <c r="N26" i="6" s="1"/>
  <c r="D17" i="6"/>
  <c r="B17" i="6"/>
  <c r="D16" i="6"/>
  <c r="O27" i="6" s="1"/>
  <c r="B16" i="6"/>
  <c r="D15" i="6"/>
  <c r="D14" i="6"/>
  <c r="B9" i="6"/>
  <c r="D5" i="6"/>
  <c r="G3" i="6"/>
  <c r="C94" i="5"/>
  <c r="B94" i="5"/>
  <c r="A94" i="5"/>
  <c r="C93" i="5"/>
  <c r="B93" i="5"/>
  <c r="A93" i="5"/>
  <c r="B92" i="5"/>
  <c r="A92" i="5"/>
  <c r="C92" i="5" s="1"/>
  <c r="B91" i="5"/>
  <c r="A91" i="5"/>
  <c r="C91" i="5" s="1"/>
  <c r="B90" i="5"/>
  <c r="A90" i="5"/>
  <c r="C90" i="5" s="1"/>
  <c r="B89" i="5"/>
  <c r="A89" i="5"/>
  <c r="C89" i="5" s="1"/>
  <c r="B88" i="5"/>
  <c r="A88" i="5"/>
  <c r="C88" i="5" s="1"/>
  <c r="B87" i="5"/>
  <c r="A87" i="5"/>
  <c r="C87" i="5" s="1"/>
  <c r="C86" i="5"/>
  <c r="B86" i="5"/>
  <c r="A86" i="5"/>
  <c r="B85" i="5"/>
  <c r="A85" i="5"/>
  <c r="C85" i="5" s="1"/>
  <c r="B84" i="5"/>
  <c r="A84" i="5"/>
  <c r="C84" i="5" s="1"/>
  <c r="C83" i="5"/>
  <c r="B83" i="5"/>
  <c r="A83" i="5"/>
  <c r="B82" i="5"/>
  <c r="A82" i="5"/>
  <c r="C82" i="5" s="1"/>
  <c r="B81" i="5"/>
  <c r="A81" i="5"/>
  <c r="C81" i="5" s="1"/>
  <c r="C80" i="5"/>
  <c r="B80" i="5"/>
  <c r="A80" i="5"/>
  <c r="B79" i="5"/>
  <c r="A79" i="5"/>
  <c r="C79" i="5" s="1"/>
  <c r="C78" i="5"/>
  <c r="B78" i="5"/>
  <c r="A78" i="5"/>
  <c r="B77" i="5"/>
  <c r="A77" i="5"/>
  <c r="C77" i="5" s="1"/>
  <c r="B76" i="5"/>
  <c r="A76" i="5"/>
  <c r="C76" i="5" s="1"/>
  <c r="B75" i="5"/>
  <c r="A75" i="5"/>
  <c r="C75" i="5" s="1"/>
  <c r="B74" i="5"/>
  <c r="A74" i="5"/>
  <c r="C74" i="5" s="1"/>
  <c r="B73" i="5"/>
  <c r="A73" i="5"/>
  <c r="C73" i="5" s="1"/>
  <c r="C72" i="5"/>
  <c r="B72" i="5"/>
  <c r="A72" i="5"/>
  <c r="B71" i="5"/>
  <c r="A71" i="5"/>
  <c r="C71" i="5" s="1"/>
  <c r="B70" i="5"/>
  <c r="A70" i="5"/>
  <c r="C70" i="5" s="1"/>
  <c r="B69" i="5"/>
  <c r="A69" i="5"/>
  <c r="C69" i="5" s="1"/>
  <c r="C68" i="5"/>
  <c r="B68" i="5"/>
  <c r="A68" i="5"/>
  <c r="B67" i="5"/>
  <c r="A67" i="5"/>
  <c r="C67" i="5" s="1"/>
  <c r="B66" i="5"/>
  <c r="A66" i="5"/>
  <c r="C66" i="5" s="1"/>
  <c r="C65" i="5"/>
  <c r="B65" i="5"/>
  <c r="A65" i="5"/>
  <c r="C64" i="5"/>
  <c r="B64" i="5"/>
  <c r="A64" i="5"/>
  <c r="B63" i="5"/>
  <c r="A63" i="5"/>
  <c r="C63" i="5" s="1"/>
  <c r="B62" i="5"/>
  <c r="A62" i="5"/>
  <c r="C62" i="5" s="1"/>
  <c r="C61" i="5"/>
  <c r="B61" i="5"/>
  <c r="A61" i="5"/>
  <c r="C60" i="5"/>
  <c r="B60" i="5"/>
  <c r="A60" i="5"/>
  <c r="B59" i="5"/>
  <c r="A59" i="5"/>
  <c r="C59" i="5" s="1"/>
  <c r="B58" i="5"/>
  <c r="A58" i="5"/>
  <c r="C58" i="5" s="1"/>
  <c r="B57" i="5"/>
  <c r="A57" i="5"/>
  <c r="C57" i="5" s="1"/>
  <c r="C56" i="5"/>
  <c r="B56" i="5"/>
  <c r="A56" i="5"/>
  <c r="B55" i="5"/>
  <c r="A55" i="5"/>
  <c r="C55" i="5" s="1"/>
  <c r="C54" i="5"/>
  <c r="B54" i="5"/>
  <c r="A54" i="5"/>
  <c r="C53" i="5"/>
  <c r="B53" i="5"/>
  <c r="A53" i="5"/>
  <c r="C52" i="5"/>
  <c r="B52" i="5"/>
  <c r="A52" i="5"/>
  <c r="B51" i="5"/>
  <c r="A51" i="5"/>
  <c r="C51" i="5" s="1"/>
  <c r="B50" i="5"/>
  <c r="A50" i="5"/>
  <c r="C50" i="5" s="1"/>
  <c r="C49" i="5"/>
  <c r="B49" i="5"/>
  <c r="A49" i="5"/>
  <c r="C48" i="5"/>
  <c r="B48" i="5"/>
  <c r="A48" i="5"/>
  <c r="B47" i="5"/>
  <c r="A47" i="5"/>
  <c r="C47" i="5" s="1"/>
  <c r="B46" i="5"/>
  <c r="A46" i="5"/>
  <c r="C46" i="5" s="1"/>
  <c r="C45" i="5"/>
  <c r="B45" i="5"/>
  <c r="A45" i="5"/>
  <c r="C44" i="5"/>
  <c r="B44" i="5"/>
  <c r="A44" i="5"/>
  <c r="B43" i="5"/>
  <c r="A43" i="5"/>
  <c r="C43" i="5" s="1"/>
  <c r="B42" i="5"/>
  <c r="A42" i="5"/>
  <c r="C42" i="5" s="1"/>
  <c r="B41" i="5"/>
  <c r="A41" i="5"/>
  <c r="C41" i="5" s="1"/>
  <c r="C40" i="5"/>
  <c r="B40" i="5"/>
  <c r="A40" i="5"/>
  <c r="B39" i="5"/>
  <c r="A39" i="5"/>
  <c r="C39" i="5" s="1"/>
  <c r="C38" i="5"/>
  <c r="B38" i="5"/>
  <c r="A38" i="5"/>
  <c r="C37" i="5"/>
  <c r="B37" i="5"/>
  <c r="A37" i="5"/>
  <c r="C36" i="5"/>
  <c r="B36" i="5"/>
  <c r="A36" i="5"/>
  <c r="B35" i="5"/>
  <c r="A35" i="5"/>
  <c r="C35" i="5" s="1"/>
  <c r="C34" i="5"/>
  <c r="B34" i="5"/>
  <c r="A34" i="5"/>
  <c r="B33" i="5"/>
  <c r="A33" i="5"/>
  <c r="C33" i="5" s="1"/>
  <c r="C32" i="5"/>
  <c r="B32" i="5"/>
  <c r="A32" i="5"/>
  <c r="B31" i="5"/>
  <c r="A31" i="5"/>
  <c r="C31" i="5" s="1"/>
  <c r="B30" i="5"/>
  <c r="A30" i="5"/>
  <c r="C30" i="5" s="1"/>
  <c r="B29" i="5"/>
  <c r="A29" i="5"/>
  <c r="C29" i="5" s="1"/>
  <c r="M28" i="5"/>
  <c r="C28" i="5"/>
  <c r="B28" i="5"/>
  <c r="A28" i="5"/>
  <c r="N27" i="5"/>
  <c r="M27" i="5"/>
  <c r="B27" i="5"/>
  <c r="A27" i="5"/>
  <c r="C27" i="5" s="1"/>
  <c r="M26" i="5"/>
  <c r="L26" i="5"/>
  <c r="B26" i="5"/>
  <c r="A26" i="5"/>
  <c r="C26" i="5" s="1"/>
  <c r="M25" i="5"/>
  <c r="L25" i="5"/>
  <c r="C25" i="5"/>
  <c r="B25" i="5"/>
  <c r="A25" i="5"/>
  <c r="B20" i="5"/>
  <c r="N28" i="5" s="1"/>
  <c r="B19" i="5"/>
  <c r="B18" i="5"/>
  <c r="N26" i="5" s="1"/>
  <c r="D17" i="5"/>
  <c r="B17" i="5"/>
  <c r="D16" i="5"/>
  <c r="O27" i="5" s="1"/>
  <c r="B16" i="5"/>
  <c r="D14" i="5"/>
  <c r="B14" i="5"/>
  <c r="B13" i="5"/>
  <c r="B9" i="5"/>
  <c r="D5" i="5"/>
  <c r="C94" i="4"/>
  <c r="B94" i="4"/>
  <c r="A94" i="4"/>
  <c r="B93" i="4"/>
  <c r="A93" i="4"/>
  <c r="C93" i="4" s="1"/>
  <c r="I92" i="4"/>
  <c r="B92" i="4"/>
  <c r="A92" i="4"/>
  <c r="C92" i="4" s="1"/>
  <c r="C91" i="4"/>
  <c r="B91" i="4"/>
  <c r="A91" i="4"/>
  <c r="C90" i="4"/>
  <c r="B90" i="4"/>
  <c r="A90" i="4"/>
  <c r="B89" i="4"/>
  <c r="A89" i="4"/>
  <c r="C89" i="4" s="1"/>
  <c r="B88" i="4"/>
  <c r="A88" i="4"/>
  <c r="C88" i="4" s="1"/>
  <c r="B87" i="4"/>
  <c r="A87" i="4"/>
  <c r="C87" i="4" s="1"/>
  <c r="C86" i="4"/>
  <c r="B86" i="4"/>
  <c r="A86" i="4"/>
  <c r="B85" i="4"/>
  <c r="A85" i="4"/>
  <c r="C85" i="4" s="1"/>
  <c r="B84" i="4"/>
  <c r="A84" i="4"/>
  <c r="C84" i="4" s="1"/>
  <c r="B83" i="4"/>
  <c r="A83" i="4"/>
  <c r="C83" i="4" s="1"/>
  <c r="C82" i="4"/>
  <c r="B82" i="4"/>
  <c r="A82" i="4"/>
  <c r="B81" i="4"/>
  <c r="A81" i="4"/>
  <c r="C81" i="4" s="1"/>
  <c r="B80" i="4"/>
  <c r="A80" i="4"/>
  <c r="C80" i="4" s="1"/>
  <c r="I79" i="4"/>
  <c r="B79" i="4"/>
  <c r="A79" i="4"/>
  <c r="C79" i="4" s="1"/>
  <c r="C78" i="4"/>
  <c r="B78" i="4"/>
  <c r="A78" i="4"/>
  <c r="I77" i="4"/>
  <c r="B77" i="4"/>
  <c r="A77" i="4"/>
  <c r="C77" i="4" s="1"/>
  <c r="B76" i="4"/>
  <c r="A76" i="4"/>
  <c r="C76" i="4" s="1"/>
  <c r="B75" i="4"/>
  <c r="A75" i="4"/>
  <c r="C75" i="4" s="1"/>
  <c r="C74" i="4"/>
  <c r="B74" i="4"/>
  <c r="A74" i="4"/>
  <c r="B73" i="4"/>
  <c r="A73" i="4"/>
  <c r="C73" i="4" s="1"/>
  <c r="I72" i="4"/>
  <c r="B72" i="4"/>
  <c r="A72" i="4"/>
  <c r="C72" i="4" s="1"/>
  <c r="B71" i="4"/>
  <c r="A71" i="4"/>
  <c r="C71" i="4" s="1"/>
  <c r="C70" i="4"/>
  <c r="B70" i="4"/>
  <c r="A70" i="4"/>
  <c r="B69" i="4"/>
  <c r="A69" i="4"/>
  <c r="C69" i="4" s="1"/>
  <c r="B68" i="4"/>
  <c r="A68" i="4"/>
  <c r="C68" i="4" s="1"/>
  <c r="I68" i="4" s="1"/>
  <c r="B67" i="4"/>
  <c r="A67" i="4"/>
  <c r="C67" i="4" s="1"/>
  <c r="C66" i="4"/>
  <c r="B66" i="4"/>
  <c r="A66" i="4"/>
  <c r="B65" i="4"/>
  <c r="A65" i="4"/>
  <c r="C65" i="4" s="1"/>
  <c r="B64" i="4"/>
  <c r="A64" i="4"/>
  <c r="C64" i="4" s="1"/>
  <c r="B63" i="4"/>
  <c r="A63" i="4"/>
  <c r="C63" i="4" s="1"/>
  <c r="C62" i="4"/>
  <c r="B62" i="4"/>
  <c r="A62" i="4"/>
  <c r="B61" i="4"/>
  <c r="A61" i="4"/>
  <c r="C61" i="4" s="1"/>
  <c r="I60" i="4"/>
  <c r="B60" i="4"/>
  <c r="A60" i="4"/>
  <c r="C60" i="4" s="1"/>
  <c r="B59" i="4"/>
  <c r="A59" i="4"/>
  <c r="C59" i="4" s="1"/>
  <c r="C58" i="4"/>
  <c r="B58" i="4"/>
  <c r="A58" i="4"/>
  <c r="B57" i="4"/>
  <c r="A57" i="4"/>
  <c r="C57" i="4" s="1"/>
  <c r="I56" i="4"/>
  <c r="B56" i="4"/>
  <c r="A56" i="4"/>
  <c r="C56" i="4" s="1"/>
  <c r="B55" i="4"/>
  <c r="A55" i="4"/>
  <c r="C55" i="4" s="1"/>
  <c r="C54" i="4"/>
  <c r="B54" i="4"/>
  <c r="A54" i="4"/>
  <c r="B53" i="4"/>
  <c r="A53" i="4"/>
  <c r="C53" i="4" s="1"/>
  <c r="B52" i="4"/>
  <c r="A52" i="4"/>
  <c r="C52" i="4" s="1"/>
  <c r="B51" i="4"/>
  <c r="A51" i="4"/>
  <c r="C51" i="4" s="1"/>
  <c r="C50" i="4"/>
  <c r="B50" i="4"/>
  <c r="A50" i="4"/>
  <c r="B49" i="4"/>
  <c r="A49" i="4"/>
  <c r="C49" i="4" s="1"/>
  <c r="B48" i="4"/>
  <c r="A48" i="4"/>
  <c r="C48" i="4" s="1"/>
  <c r="I47" i="4"/>
  <c r="B47" i="4"/>
  <c r="A47" i="4"/>
  <c r="C47" i="4" s="1"/>
  <c r="C46" i="4"/>
  <c r="B46" i="4"/>
  <c r="A46" i="4"/>
  <c r="I45" i="4"/>
  <c r="B45" i="4"/>
  <c r="A45" i="4"/>
  <c r="C45" i="4" s="1"/>
  <c r="B44" i="4"/>
  <c r="A44" i="4"/>
  <c r="C44" i="4" s="1"/>
  <c r="B43" i="4"/>
  <c r="A43" i="4"/>
  <c r="C43" i="4" s="1"/>
  <c r="C42" i="4"/>
  <c r="B42" i="4"/>
  <c r="A42" i="4"/>
  <c r="B41" i="4"/>
  <c r="A41" i="4"/>
  <c r="C41" i="4" s="1"/>
  <c r="B40" i="4"/>
  <c r="A40" i="4"/>
  <c r="C40" i="4" s="1"/>
  <c r="I40" i="4" s="1"/>
  <c r="B39" i="4"/>
  <c r="A39" i="4"/>
  <c r="C39" i="4" s="1"/>
  <c r="C38" i="4"/>
  <c r="B38" i="4"/>
  <c r="A38" i="4"/>
  <c r="B37" i="4"/>
  <c r="A37" i="4"/>
  <c r="C37" i="4" s="1"/>
  <c r="B36" i="4"/>
  <c r="A36" i="4"/>
  <c r="C36" i="4" s="1"/>
  <c r="I36" i="4" s="1"/>
  <c r="B35" i="4"/>
  <c r="A35" i="4"/>
  <c r="C35" i="4" s="1"/>
  <c r="C34" i="4"/>
  <c r="B34" i="4"/>
  <c r="A34" i="4"/>
  <c r="B33" i="4"/>
  <c r="A33" i="4"/>
  <c r="C33" i="4" s="1"/>
  <c r="B32" i="4"/>
  <c r="A32" i="4"/>
  <c r="C32" i="4" s="1"/>
  <c r="B31" i="4"/>
  <c r="A31" i="4"/>
  <c r="C31" i="4" s="1"/>
  <c r="C30" i="4"/>
  <c r="B30" i="4"/>
  <c r="A30" i="4"/>
  <c r="B29" i="4"/>
  <c r="A29" i="4"/>
  <c r="C29" i="4" s="1"/>
  <c r="N28" i="4"/>
  <c r="M28" i="4"/>
  <c r="C28" i="4"/>
  <c r="B28" i="4"/>
  <c r="A28" i="4"/>
  <c r="O27" i="4"/>
  <c r="N27" i="4"/>
  <c r="M27" i="4"/>
  <c r="C27" i="4"/>
  <c r="B27" i="4"/>
  <c r="A27" i="4"/>
  <c r="N26" i="4"/>
  <c r="M26" i="4"/>
  <c r="L26" i="4"/>
  <c r="D26" i="4"/>
  <c r="B26" i="4"/>
  <c r="A26" i="4"/>
  <c r="C26" i="4" s="1"/>
  <c r="M25" i="4"/>
  <c r="L25" i="4"/>
  <c r="B25" i="4"/>
  <c r="A25" i="4"/>
  <c r="C25" i="4" s="1"/>
  <c r="B20" i="4"/>
  <c r="B19" i="4"/>
  <c r="B18" i="4"/>
  <c r="D17" i="4"/>
  <c r="B17" i="4"/>
  <c r="D16" i="4"/>
  <c r="B16" i="4"/>
  <c r="D14" i="4"/>
  <c r="O25" i="4" s="1"/>
  <c r="B14" i="4"/>
  <c r="B13" i="4"/>
  <c r="B9" i="4"/>
  <c r="D5" i="4"/>
  <c r="G3" i="4"/>
  <c r="I94" i="3"/>
  <c r="B94" i="3"/>
  <c r="A94" i="3"/>
  <c r="C94" i="3" s="1"/>
  <c r="D94" i="3" s="1"/>
  <c r="C93" i="3"/>
  <c r="I93" i="3" s="1"/>
  <c r="B93" i="3"/>
  <c r="A93" i="3"/>
  <c r="I92" i="3"/>
  <c r="D92" i="3"/>
  <c r="B92" i="3"/>
  <c r="A92" i="3"/>
  <c r="C92" i="3" s="1"/>
  <c r="C91" i="3"/>
  <c r="I91" i="3" s="1"/>
  <c r="B91" i="3"/>
  <c r="A91" i="3"/>
  <c r="F90" i="3"/>
  <c r="D90" i="3"/>
  <c r="B90" i="3"/>
  <c r="A90" i="3"/>
  <c r="C90" i="3" s="1"/>
  <c r="I90" i="3" s="1"/>
  <c r="C89" i="3"/>
  <c r="I89" i="3" s="1"/>
  <c r="B89" i="3"/>
  <c r="A89" i="3"/>
  <c r="B88" i="3"/>
  <c r="A88" i="3"/>
  <c r="C88" i="3" s="1"/>
  <c r="D87" i="3"/>
  <c r="B87" i="3"/>
  <c r="A87" i="3"/>
  <c r="C87" i="3" s="1"/>
  <c r="I87" i="3" s="1"/>
  <c r="B86" i="3"/>
  <c r="A86" i="3"/>
  <c r="C86" i="3" s="1"/>
  <c r="F85" i="3"/>
  <c r="D85" i="3"/>
  <c r="C85" i="3"/>
  <c r="I85" i="3" s="1"/>
  <c r="B85" i="3"/>
  <c r="A85" i="3"/>
  <c r="I84" i="3"/>
  <c r="F84" i="3"/>
  <c r="E84" i="3"/>
  <c r="G84" i="3" s="1"/>
  <c r="H84" i="3" s="1"/>
  <c r="J84" i="3" s="1"/>
  <c r="D84" i="3"/>
  <c r="B84" i="3"/>
  <c r="A84" i="3"/>
  <c r="C84" i="3" s="1"/>
  <c r="C83" i="3"/>
  <c r="B83" i="3"/>
  <c r="A83" i="3"/>
  <c r="B82" i="3"/>
  <c r="A82" i="3"/>
  <c r="C82" i="3" s="1"/>
  <c r="I82" i="3" s="1"/>
  <c r="C81" i="3"/>
  <c r="I81" i="3" s="1"/>
  <c r="B81" i="3"/>
  <c r="A81" i="3"/>
  <c r="B80" i="3"/>
  <c r="A80" i="3"/>
  <c r="C80" i="3" s="1"/>
  <c r="D80" i="3" s="1"/>
  <c r="I79" i="3"/>
  <c r="F79" i="3"/>
  <c r="B79" i="3"/>
  <c r="A79" i="3"/>
  <c r="C79" i="3" s="1"/>
  <c r="D79" i="3" s="1"/>
  <c r="D78" i="3"/>
  <c r="C78" i="3"/>
  <c r="I78" i="3" s="1"/>
  <c r="B78" i="3"/>
  <c r="A78" i="3"/>
  <c r="F77" i="3"/>
  <c r="E77" i="3"/>
  <c r="G77" i="3" s="1"/>
  <c r="H77" i="3" s="1"/>
  <c r="C77" i="3"/>
  <c r="D77" i="3" s="1"/>
  <c r="B77" i="3"/>
  <c r="A77" i="3"/>
  <c r="I76" i="3"/>
  <c r="D76" i="3"/>
  <c r="B76" i="3"/>
  <c r="A76" i="3"/>
  <c r="C76" i="3" s="1"/>
  <c r="I75" i="3"/>
  <c r="C75" i="3"/>
  <c r="D75" i="3" s="1"/>
  <c r="B75" i="3"/>
  <c r="A75" i="3"/>
  <c r="C74" i="3"/>
  <c r="I74" i="3" s="1"/>
  <c r="B74" i="3"/>
  <c r="A74" i="3"/>
  <c r="C73" i="3"/>
  <c r="D73" i="3" s="1"/>
  <c r="B73" i="3"/>
  <c r="A73" i="3"/>
  <c r="B72" i="3"/>
  <c r="A72" i="3"/>
  <c r="C72" i="3" s="1"/>
  <c r="I72" i="3" s="1"/>
  <c r="B71" i="3"/>
  <c r="A71" i="3"/>
  <c r="C71" i="3" s="1"/>
  <c r="F70" i="3"/>
  <c r="D70" i="3"/>
  <c r="C70" i="3"/>
  <c r="I70" i="3" s="1"/>
  <c r="B70" i="3"/>
  <c r="A70" i="3"/>
  <c r="C69" i="3"/>
  <c r="D69" i="3" s="1"/>
  <c r="F69" i="3" s="1"/>
  <c r="B69" i="3"/>
  <c r="A69" i="3"/>
  <c r="B68" i="3"/>
  <c r="A68" i="3"/>
  <c r="C68" i="3" s="1"/>
  <c r="D68" i="3" s="1"/>
  <c r="B67" i="3"/>
  <c r="A67" i="3"/>
  <c r="C67" i="3" s="1"/>
  <c r="C66" i="3"/>
  <c r="I66" i="3" s="1"/>
  <c r="B66" i="3"/>
  <c r="A66" i="3"/>
  <c r="F65" i="3"/>
  <c r="C65" i="3"/>
  <c r="D65" i="3" s="1"/>
  <c r="B65" i="3"/>
  <c r="A65" i="3"/>
  <c r="I64" i="3"/>
  <c r="D64" i="3"/>
  <c r="B64" i="3"/>
  <c r="A64" i="3"/>
  <c r="C64" i="3" s="1"/>
  <c r="B63" i="3"/>
  <c r="A63" i="3"/>
  <c r="C63" i="3" s="1"/>
  <c r="D62" i="3"/>
  <c r="C62" i="3"/>
  <c r="I62" i="3" s="1"/>
  <c r="B62" i="3"/>
  <c r="A62" i="3"/>
  <c r="C61" i="3"/>
  <c r="D61" i="3" s="1"/>
  <c r="F61" i="3" s="1"/>
  <c r="B61" i="3"/>
  <c r="A61" i="3"/>
  <c r="B60" i="3"/>
  <c r="A60" i="3"/>
  <c r="C60" i="3" s="1"/>
  <c r="I60" i="3" s="1"/>
  <c r="B59" i="3"/>
  <c r="A59" i="3"/>
  <c r="C59" i="3" s="1"/>
  <c r="D59" i="3" s="1"/>
  <c r="C58" i="3"/>
  <c r="I58" i="3" s="1"/>
  <c r="B58" i="3"/>
  <c r="A58" i="3"/>
  <c r="F57" i="3"/>
  <c r="C57" i="3"/>
  <c r="D57" i="3" s="1"/>
  <c r="B57" i="3"/>
  <c r="A57" i="3"/>
  <c r="I56" i="3"/>
  <c r="B56" i="3"/>
  <c r="A56" i="3"/>
  <c r="C56" i="3" s="1"/>
  <c r="D56" i="3" s="1"/>
  <c r="C55" i="3"/>
  <c r="I55" i="3" s="1"/>
  <c r="B55" i="3"/>
  <c r="A55" i="3"/>
  <c r="C54" i="3"/>
  <c r="I54" i="3" s="1"/>
  <c r="B54" i="3"/>
  <c r="A54" i="3"/>
  <c r="F53" i="3"/>
  <c r="D53" i="3"/>
  <c r="C53" i="3"/>
  <c r="I53" i="3" s="1"/>
  <c r="B53" i="3"/>
  <c r="A53" i="3"/>
  <c r="I52" i="3"/>
  <c r="D52" i="3"/>
  <c r="B52" i="3"/>
  <c r="A52" i="3"/>
  <c r="C52" i="3" s="1"/>
  <c r="I51" i="3"/>
  <c r="C51" i="3"/>
  <c r="D51" i="3" s="1"/>
  <c r="B51" i="3"/>
  <c r="A51" i="3"/>
  <c r="F50" i="3"/>
  <c r="D50" i="3"/>
  <c r="C50" i="3"/>
  <c r="I50" i="3" s="1"/>
  <c r="B50" i="3"/>
  <c r="A50" i="3"/>
  <c r="F49" i="3"/>
  <c r="D49" i="3"/>
  <c r="C49" i="3"/>
  <c r="I49" i="3" s="1"/>
  <c r="B49" i="3"/>
  <c r="A49" i="3"/>
  <c r="I48" i="3"/>
  <c r="B48" i="3"/>
  <c r="A48" i="3"/>
  <c r="C48" i="3" s="1"/>
  <c r="D48" i="3" s="1"/>
  <c r="I47" i="3"/>
  <c r="D47" i="3"/>
  <c r="F47" i="3" s="1"/>
  <c r="B47" i="3"/>
  <c r="A47" i="3"/>
  <c r="C47" i="3" s="1"/>
  <c r="D46" i="3"/>
  <c r="F46" i="3" s="1"/>
  <c r="C46" i="3"/>
  <c r="I46" i="3" s="1"/>
  <c r="B46" i="3"/>
  <c r="A46" i="3"/>
  <c r="F45" i="3"/>
  <c r="E45" i="3"/>
  <c r="G45" i="3" s="1"/>
  <c r="H45" i="3" s="1"/>
  <c r="J45" i="3" s="1"/>
  <c r="D45" i="3"/>
  <c r="C45" i="3"/>
  <c r="I45" i="3" s="1"/>
  <c r="B45" i="3"/>
  <c r="A45" i="3"/>
  <c r="I44" i="3"/>
  <c r="B44" i="3"/>
  <c r="A44" i="3"/>
  <c r="C44" i="3" s="1"/>
  <c r="D44" i="3" s="1"/>
  <c r="B43" i="3"/>
  <c r="A43" i="3"/>
  <c r="C43" i="3" s="1"/>
  <c r="C42" i="3"/>
  <c r="I42" i="3" s="1"/>
  <c r="B42" i="3"/>
  <c r="A42" i="3"/>
  <c r="F41" i="3"/>
  <c r="D41" i="3"/>
  <c r="C41" i="3"/>
  <c r="I41" i="3" s="1"/>
  <c r="B41" i="3"/>
  <c r="A41" i="3"/>
  <c r="I40" i="3"/>
  <c r="B40" i="3"/>
  <c r="A40" i="3"/>
  <c r="C40" i="3" s="1"/>
  <c r="D40" i="3" s="1"/>
  <c r="B39" i="3"/>
  <c r="A39" i="3"/>
  <c r="C39" i="3" s="1"/>
  <c r="D39" i="3" s="1"/>
  <c r="F38" i="3"/>
  <c r="D38" i="3"/>
  <c r="C38" i="3"/>
  <c r="I38" i="3" s="1"/>
  <c r="B38" i="3"/>
  <c r="A38" i="3"/>
  <c r="D37" i="3"/>
  <c r="F37" i="3" s="1"/>
  <c r="C37" i="3"/>
  <c r="I37" i="3" s="1"/>
  <c r="B37" i="3"/>
  <c r="A37" i="3"/>
  <c r="I36" i="3"/>
  <c r="B36" i="3"/>
  <c r="A36" i="3"/>
  <c r="C36" i="3" s="1"/>
  <c r="D36" i="3" s="1"/>
  <c r="B35" i="3"/>
  <c r="A35" i="3"/>
  <c r="C35" i="3" s="1"/>
  <c r="C34" i="3"/>
  <c r="B34" i="3"/>
  <c r="A34" i="3"/>
  <c r="D33" i="3"/>
  <c r="C33" i="3"/>
  <c r="I33" i="3" s="1"/>
  <c r="B33" i="3"/>
  <c r="A33" i="3"/>
  <c r="B32" i="3"/>
  <c r="A32" i="3"/>
  <c r="C32" i="3" s="1"/>
  <c r="I32" i="3" s="1"/>
  <c r="B31" i="3"/>
  <c r="A31" i="3"/>
  <c r="C31" i="3" s="1"/>
  <c r="D30" i="3"/>
  <c r="C30" i="3"/>
  <c r="I30" i="3" s="1"/>
  <c r="B30" i="3"/>
  <c r="A30" i="3"/>
  <c r="D29" i="3"/>
  <c r="C29" i="3"/>
  <c r="I29" i="3" s="1"/>
  <c r="B29" i="3"/>
  <c r="A29" i="3"/>
  <c r="Q28" i="3"/>
  <c r="P28" i="3"/>
  <c r="M28" i="3"/>
  <c r="D28" i="3"/>
  <c r="E28" i="3" s="1"/>
  <c r="B28" i="3"/>
  <c r="A28" i="3"/>
  <c r="C28" i="3" s="1"/>
  <c r="I28" i="3" s="1"/>
  <c r="N27" i="3"/>
  <c r="M27" i="3"/>
  <c r="B27" i="3"/>
  <c r="A27" i="3"/>
  <c r="C27" i="3" s="1"/>
  <c r="I27" i="3" s="1"/>
  <c r="N26" i="3"/>
  <c r="M26" i="3"/>
  <c r="L26" i="3"/>
  <c r="C26" i="3"/>
  <c r="I26" i="3" s="1"/>
  <c r="B26" i="3"/>
  <c r="A26" i="3"/>
  <c r="O25" i="3"/>
  <c r="M25" i="3"/>
  <c r="L25" i="3"/>
  <c r="B25" i="3"/>
  <c r="A25" i="3"/>
  <c r="C25" i="3" s="1"/>
  <c r="B20" i="3"/>
  <c r="N28" i="3" s="1"/>
  <c r="B19" i="3"/>
  <c r="B18" i="3"/>
  <c r="D17" i="3"/>
  <c r="O28" i="3" s="1"/>
  <c r="S28" i="3" s="1"/>
  <c r="B17" i="3"/>
  <c r="N25" i="3" s="1"/>
  <c r="D16" i="3"/>
  <c r="O27" i="3" s="1"/>
  <c r="B16" i="3"/>
  <c r="D15" i="3"/>
  <c r="O26" i="3" s="1"/>
  <c r="D14" i="3"/>
  <c r="B9" i="3"/>
  <c r="E50" i="3" s="1"/>
  <c r="G50" i="3" s="1"/>
  <c r="H50" i="3" s="1"/>
  <c r="J50" i="3" s="1"/>
  <c r="D5" i="3"/>
  <c r="H28" i="2"/>
  <c r="F28" i="2"/>
  <c r="H21" i="2"/>
  <c r="F21" i="2"/>
  <c r="B20" i="2"/>
  <c r="B19" i="2"/>
  <c r="B18" i="2"/>
  <c r="B21" i="2" s="1"/>
  <c r="D17" i="2"/>
  <c r="B17" i="2"/>
  <c r="B16" i="2"/>
  <c r="H15" i="2"/>
  <c r="F27" i="2" s="1"/>
  <c r="F34" i="2" s="1"/>
  <c r="H34" i="2" s="1"/>
  <c r="D14" i="2"/>
  <c r="B14" i="2"/>
  <c r="H12" i="2"/>
  <c r="H11" i="2"/>
  <c r="B9" i="2"/>
  <c r="B13" i="2" s="1"/>
  <c r="D5" i="2"/>
  <c r="H4" i="2"/>
  <c r="H102" i="1"/>
  <c r="H101" i="1"/>
  <c r="C100" i="1"/>
  <c r="E100" i="1" s="1"/>
  <c r="J92" i="1"/>
  <c r="E92" i="1"/>
  <c r="J91" i="1"/>
  <c r="H91" i="1"/>
  <c r="E91" i="1"/>
  <c r="J90" i="1"/>
  <c r="E90" i="1"/>
  <c r="E89" i="1"/>
  <c r="J89" i="1" s="1"/>
  <c r="E88" i="1"/>
  <c r="J88" i="1" s="1"/>
  <c r="B87" i="1"/>
  <c r="J79" i="1"/>
  <c r="F79" i="1"/>
  <c r="E79" i="1"/>
  <c r="J78" i="1"/>
  <c r="H78" i="1"/>
  <c r="E78" i="1"/>
  <c r="E77" i="1"/>
  <c r="J77" i="1" s="1"/>
  <c r="H76" i="1"/>
  <c r="E76" i="1"/>
  <c r="J76" i="1" s="1"/>
  <c r="B76" i="1"/>
  <c r="B77" i="1" s="1"/>
  <c r="E75" i="1"/>
  <c r="J75" i="1" s="1"/>
  <c r="B74" i="1"/>
  <c r="E66" i="1"/>
  <c r="J66" i="1" s="1"/>
  <c r="E65" i="1"/>
  <c r="J65" i="1" s="1"/>
  <c r="B65" i="1"/>
  <c r="J64" i="1"/>
  <c r="E64" i="1"/>
  <c r="B64" i="1"/>
  <c r="E63" i="1"/>
  <c r="J63" i="1" s="1"/>
  <c r="B63" i="1"/>
  <c r="F64" i="1" s="1"/>
  <c r="G64" i="1" s="1"/>
  <c r="J62" i="1"/>
  <c r="H62" i="1"/>
  <c r="G62" i="1"/>
  <c r="F62" i="1"/>
  <c r="K62" i="1" s="1"/>
  <c r="E62" i="1"/>
  <c r="B61" i="1"/>
  <c r="E53" i="1"/>
  <c r="J53" i="1" s="1"/>
  <c r="J52" i="1"/>
  <c r="H52" i="1"/>
  <c r="E52" i="1"/>
  <c r="E51" i="1"/>
  <c r="J51" i="1" s="1"/>
  <c r="H50" i="1"/>
  <c r="E50" i="1"/>
  <c r="J50" i="1" s="1"/>
  <c r="E49" i="1"/>
  <c r="J49" i="1" s="1"/>
  <c r="B48" i="1"/>
  <c r="F40" i="1"/>
  <c r="K40" i="1" s="1"/>
  <c r="E40" i="1"/>
  <c r="J40" i="1" s="1"/>
  <c r="E39" i="1"/>
  <c r="J39" i="1" s="1"/>
  <c r="H38" i="1"/>
  <c r="E38" i="1"/>
  <c r="J38" i="1" s="1"/>
  <c r="B38" i="1"/>
  <c r="E37" i="1"/>
  <c r="B37" i="1"/>
  <c r="J36" i="1"/>
  <c r="F36" i="1"/>
  <c r="K36" i="1" s="1"/>
  <c r="E36" i="1"/>
  <c r="B36" i="1"/>
  <c r="B35" i="1"/>
  <c r="E30" i="1"/>
  <c r="C30" i="1"/>
  <c r="H29" i="1"/>
  <c r="J3" i="1" s="1"/>
  <c r="C29" i="1"/>
  <c r="E29" i="1" s="1"/>
  <c r="B29" i="1"/>
  <c r="D29" i="1" s="1"/>
  <c r="H28" i="1"/>
  <c r="C28" i="1"/>
  <c r="E28" i="1" s="1"/>
  <c r="C27" i="1"/>
  <c r="E27" i="1" s="1"/>
  <c r="B27" i="1"/>
  <c r="D27" i="1" s="1"/>
  <c r="E26" i="1"/>
  <c r="C26" i="1"/>
  <c r="B17" i="1"/>
  <c r="J16" i="1"/>
  <c r="B16" i="1"/>
  <c r="H65" i="1" s="1"/>
  <c r="B15" i="1"/>
  <c r="B14" i="1"/>
  <c r="H37" i="1" s="1"/>
  <c r="B13" i="1"/>
  <c r="B12" i="1"/>
  <c r="J10" i="1"/>
  <c r="H10" i="1"/>
  <c r="J9" i="1"/>
  <c r="H9" i="1"/>
  <c r="B9" i="1"/>
  <c r="B8" i="1"/>
  <c r="D5" i="1"/>
  <c r="H3" i="1"/>
  <c r="S26" i="3" l="1"/>
  <c r="P26" i="3"/>
  <c r="Q26" i="3" s="1"/>
  <c r="R26" i="3" s="1"/>
  <c r="D35" i="3"/>
  <c r="I35" i="3"/>
  <c r="I63" i="3"/>
  <c r="D63" i="3"/>
  <c r="B78" i="1"/>
  <c r="I71" i="3"/>
  <c r="D71" i="3"/>
  <c r="D76" i="7"/>
  <c r="I76" i="7"/>
  <c r="D79" i="7"/>
  <c r="I79" i="7"/>
  <c r="F38" i="1"/>
  <c r="G40" i="1"/>
  <c r="S27" i="3"/>
  <c r="P27" i="3"/>
  <c r="Q27" i="3" s="1"/>
  <c r="R27" i="3" s="1"/>
  <c r="D26" i="3"/>
  <c r="D27" i="3"/>
  <c r="G28" i="3"/>
  <c r="H28" i="3" s="1"/>
  <c r="J28" i="3" s="1"/>
  <c r="F33" i="3"/>
  <c r="E33" i="3"/>
  <c r="E39" i="3"/>
  <c r="F39" i="3"/>
  <c r="E49" i="3"/>
  <c r="G49" i="3" s="1"/>
  <c r="H49" i="3" s="1"/>
  <c r="J49" i="3" s="1"/>
  <c r="D55" i="3"/>
  <c r="I68" i="3"/>
  <c r="D86" i="3"/>
  <c r="I86" i="3"/>
  <c r="F53" i="6"/>
  <c r="E53" i="6"/>
  <c r="G53" i="6" s="1"/>
  <c r="H53" i="6" s="1"/>
  <c r="K64" i="1"/>
  <c r="F78" i="1"/>
  <c r="F28" i="3"/>
  <c r="F29" i="3"/>
  <c r="E29" i="3"/>
  <c r="G29" i="3" s="1"/>
  <c r="H29" i="3" s="1"/>
  <c r="J29" i="3" s="1"/>
  <c r="E59" i="3"/>
  <c r="F59" i="3"/>
  <c r="D74" i="3"/>
  <c r="F76" i="3"/>
  <c r="E76" i="3"/>
  <c r="G76" i="3" s="1"/>
  <c r="H76" i="3" s="1"/>
  <c r="J76" i="3" s="1"/>
  <c r="F30" i="3"/>
  <c r="E30" i="3"/>
  <c r="G30" i="3" s="1"/>
  <c r="H30" i="3" s="1"/>
  <c r="J30" i="3" s="1"/>
  <c r="F68" i="3"/>
  <c r="E68" i="3"/>
  <c r="G68" i="3" s="1"/>
  <c r="H68" i="3" s="1"/>
  <c r="J68" i="3" s="1"/>
  <c r="E75" i="3"/>
  <c r="G75" i="3" s="1"/>
  <c r="H75" i="3" s="1"/>
  <c r="J75" i="3" s="1"/>
  <c r="F75" i="3"/>
  <c r="G79" i="1"/>
  <c r="K79" i="1"/>
  <c r="E51" i="3"/>
  <c r="F51" i="3"/>
  <c r="F73" i="3"/>
  <c r="E73" i="3"/>
  <c r="G73" i="3" s="1"/>
  <c r="H73" i="3" s="1"/>
  <c r="J73" i="3" s="1"/>
  <c r="I88" i="3"/>
  <c r="D88" i="3"/>
  <c r="H66" i="1"/>
  <c r="B30" i="1"/>
  <c r="D30" i="1" s="1"/>
  <c r="H53" i="1"/>
  <c r="H92" i="1"/>
  <c r="I62" i="1"/>
  <c r="H79" i="1"/>
  <c r="I79" i="1" s="1"/>
  <c r="L79" i="1" s="1"/>
  <c r="B21" i="3"/>
  <c r="E46" i="3"/>
  <c r="G46" i="3" s="1"/>
  <c r="H46" i="3" s="1"/>
  <c r="J46" i="3" s="1"/>
  <c r="F62" i="3"/>
  <c r="E62" i="3"/>
  <c r="F92" i="3"/>
  <c r="E92" i="3"/>
  <c r="G92" i="3" s="1"/>
  <c r="H92" i="3" s="1"/>
  <c r="J92" i="3" s="1"/>
  <c r="D85" i="7"/>
  <c r="I85" i="7"/>
  <c r="D25" i="3"/>
  <c r="I25" i="3"/>
  <c r="I31" i="3"/>
  <c r="D31" i="3"/>
  <c r="B39" i="1"/>
  <c r="D32" i="3"/>
  <c r="I39" i="3"/>
  <c r="D43" i="3"/>
  <c r="I43" i="3"/>
  <c r="I59" i="3"/>
  <c r="I67" i="3"/>
  <c r="D67" i="3"/>
  <c r="F78" i="3"/>
  <c r="E78" i="3"/>
  <c r="G78" i="3" s="1"/>
  <c r="H78" i="3" s="1"/>
  <c r="J78" i="3" s="1"/>
  <c r="F94" i="3"/>
  <c r="E94" i="3"/>
  <c r="F40" i="6"/>
  <c r="E40" i="6"/>
  <c r="G40" i="6" s="1"/>
  <c r="H40" i="6" s="1"/>
  <c r="J40" i="6" s="1"/>
  <c r="H77" i="1"/>
  <c r="B28" i="1"/>
  <c r="D28" i="1" s="1"/>
  <c r="H51" i="1"/>
  <c r="H64" i="1"/>
  <c r="I64" i="1" s="1"/>
  <c r="L64" i="1" s="1"/>
  <c r="H90" i="1"/>
  <c r="H13" i="2"/>
  <c r="H14" i="2" s="1"/>
  <c r="E27" i="2" s="1"/>
  <c r="H3" i="2"/>
  <c r="H5" i="2"/>
  <c r="B14" i="3"/>
  <c r="E37" i="3"/>
  <c r="G37" i="3" s="1"/>
  <c r="H37" i="3" s="1"/>
  <c r="J37" i="3" s="1"/>
  <c r="E69" i="3"/>
  <c r="G69" i="3" s="1"/>
  <c r="H69" i="3" s="1"/>
  <c r="B13" i="3"/>
  <c r="E90" i="3"/>
  <c r="G90" i="3" s="1"/>
  <c r="H90" i="3" s="1"/>
  <c r="J90" i="3" s="1"/>
  <c r="E65" i="3"/>
  <c r="G65" i="3" s="1"/>
  <c r="H65" i="3" s="1"/>
  <c r="J65" i="3" s="1"/>
  <c r="E53" i="3"/>
  <c r="G53" i="3" s="1"/>
  <c r="H53" i="3" s="1"/>
  <c r="J53" i="3" s="1"/>
  <c r="E36" i="3"/>
  <c r="G36" i="3" s="1"/>
  <c r="H36" i="3" s="1"/>
  <c r="J36" i="3" s="1"/>
  <c r="F36" i="3"/>
  <c r="E47" i="3"/>
  <c r="G47" i="3" s="1"/>
  <c r="H47" i="3" s="1"/>
  <c r="J47" i="3" s="1"/>
  <c r="E61" i="3"/>
  <c r="G61" i="3" s="1"/>
  <c r="H61" i="3" s="1"/>
  <c r="I83" i="3"/>
  <c r="D83" i="3"/>
  <c r="B50" i="1"/>
  <c r="F77" i="1"/>
  <c r="F76" i="1"/>
  <c r="F75" i="1"/>
  <c r="H75" i="1"/>
  <c r="B26" i="1"/>
  <c r="D26" i="1" s="1"/>
  <c r="H88" i="1"/>
  <c r="B18" i="1"/>
  <c r="H36" i="1"/>
  <c r="H49" i="1"/>
  <c r="J37" i="1"/>
  <c r="F37" i="1"/>
  <c r="F39" i="1"/>
  <c r="F51" i="1"/>
  <c r="B75" i="1"/>
  <c r="D16" i="2"/>
  <c r="D15" i="2"/>
  <c r="S25" i="3"/>
  <c r="P25" i="3"/>
  <c r="Q25" i="3" s="1"/>
  <c r="R25" i="3" s="1"/>
  <c r="D54" i="3"/>
  <c r="F64" i="3"/>
  <c r="E64" i="3"/>
  <c r="G64" i="3" s="1"/>
  <c r="H64" i="3" s="1"/>
  <c r="J64" i="3" s="1"/>
  <c r="E87" i="3"/>
  <c r="F87" i="3"/>
  <c r="N25" i="6"/>
  <c r="B21" i="6"/>
  <c r="G36" i="7"/>
  <c r="H36" i="7" s="1"/>
  <c r="J36" i="7" s="1"/>
  <c r="D52" i="7"/>
  <c r="I52" i="7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3" i="4"/>
  <c r="D29" i="4"/>
  <c r="P28" i="4"/>
  <c r="Q28" i="4" s="1"/>
  <c r="R28" i="4" s="1"/>
  <c r="T28" i="4" s="1"/>
  <c r="I94" i="4"/>
  <c r="I90" i="4"/>
  <c r="I86" i="4"/>
  <c r="I82" i="4"/>
  <c r="I78" i="4"/>
  <c r="I74" i="4"/>
  <c r="I70" i="4"/>
  <c r="I66" i="4"/>
  <c r="I62" i="4"/>
  <c r="I58" i="4"/>
  <c r="I54" i="4"/>
  <c r="I50" i="4"/>
  <c r="I46" i="4"/>
  <c r="I42" i="4"/>
  <c r="I38" i="4"/>
  <c r="I34" i="4"/>
  <c r="I30" i="4"/>
  <c r="S26" i="4"/>
  <c r="I93" i="4"/>
  <c r="I89" i="4"/>
  <c r="D94" i="4"/>
  <c r="I88" i="4"/>
  <c r="D28" i="4"/>
  <c r="I26" i="4"/>
  <c r="I25" i="4"/>
  <c r="D87" i="4"/>
  <c r="D86" i="4"/>
  <c r="D84" i="4"/>
  <c r="D83" i="4"/>
  <c r="D82" i="4"/>
  <c r="D80" i="4"/>
  <c r="D79" i="4"/>
  <c r="D78" i="4"/>
  <c r="D76" i="4"/>
  <c r="D75" i="4"/>
  <c r="D74" i="4"/>
  <c r="D72" i="4"/>
  <c r="D71" i="4"/>
  <c r="D70" i="4"/>
  <c r="D68" i="4"/>
  <c r="D67" i="4"/>
  <c r="D66" i="4"/>
  <c r="D64" i="4"/>
  <c r="D63" i="4"/>
  <c r="D62" i="4"/>
  <c r="D60" i="4"/>
  <c r="D59" i="4"/>
  <c r="D58" i="4"/>
  <c r="D56" i="4"/>
  <c r="D55" i="4"/>
  <c r="D54" i="4"/>
  <c r="D52" i="4"/>
  <c r="D51" i="4"/>
  <c r="D50" i="4"/>
  <c r="D48" i="4"/>
  <c r="D47" i="4"/>
  <c r="D46" i="4"/>
  <c r="D44" i="4"/>
  <c r="D43" i="4"/>
  <c r="D42" i="4"/>
  <c r="D40" i="4"/>
  <c r="D39" i="4"/>
  <c r="D38" i="4"/>
  <c r="D36" i="4"/>
  <c r="D35" i="4"/>
  <c r="D34" i="4"/>
  <c r="D32" i="4"/>
  <c r="D31" i="4"/>
  <c r="D30" i="4"/>
  <c r="S25" i="4"/>
  <c r="I91" i="4"/>
  <c r="D88" i="4"/>
  <c r="I27" i="4"/>
  <c r="D92" i="4"/>
  <c r="D90" i="4"/>
  <c r="I84" i="4"/>
  <c r="I69" i="4"/>
  <c r="I67" i="4"/>
  <c r="I52" i="4"/>
  <c r="I37" i="4"/>
  <c r="I35" i="4"/>
  <c r="D27" i="4"/>
  <c r="I80" i="4"/>
  <c r="I65" i="4"/>
  <c r="I63" i="4"/>
  <c r="I48" i="4"/>
  <c r="I33" i="4"/>
  <c r="I31" i="4"/>
  <c r="S27" i="4"/>
  <c r="I76" i="4"/>
  <c r="I61" i="4"/>
  <c r="I59" i="4"/>
  <c r="I44" i="4"/>
  <c r="I29" i="4"/>
  <c r="I28" i="4"/>
  <c r="P27" i="4"/>
  <c r="Q27" i="4" s="1"/>
  <c r="R27" i="4" s="1"/>
  <c r="T27" i="4" s="1"/>
  <c r="D25" i="4"/>
  <c r="I43" i="4"/>
  <c r="I75" i="4"/>
  <c r="D91" i="4"/>
  <c r="G36" i="1"/>
  <c r="H27" i="2"/>
  <c r="E40" i="3"/>
  <c r="F40" i="3"/>
  <c r="E48" i="3"/>
  <c r="E57" i="3"/>
  <c r="G57" i="3" s="1"/>
  <c r="H57" i="3" s="1"/>
  <c r="J57" i="3" s="1"/>
  <c r="I64" i="4"/>
  <c r="I73" i="4"/>
  <c r="B14" i="6"/>
  <c r="B13" i="6"/>
  <c r="F71" i="6"/>
  <c r="E71" i="6"/>
  <c r="G71" i="6" s="1"/>
  <c r="H71" i="6" s="1"/>
  <c r="D60" i="3"/>
  <c r="D66" i="3"/>
  <c r="E70" i="3"/>
  <c r="G70" i="3" s="1"/>
  <c r="H70" i="3" s="1"/>
  <c r="J70" i="3" s="1"/>
  <c r="I80" i="3"/>
  <c r="D82" i="3"/>
  <c r="D93" i="3"/>
  <c r="I39" i="4"/>
  <c r="I53" i="4"/>
  <c r="I57" i="4"/>
  <c r="I71" i="4"/>
  <c r="I85" i="4"/>
  <c r="F26" i="4"/>
  <c r="E26" i="4"/>
  <c r="B21" i="5"/>
  <c r="N25" i="5"/>
  <c r="D71" i="7"/>
  <c r="I71" i="7"/>
  <c r="E38" i="3"/>
  <c r="G38" i="3" s="1"/>
  <c r="H38" i="3" s="1"/>
  <c r="J38" i="3" s="1"/>
  <c r="E52" i="3"/>
  <c r="G52" i="3" s="1"/>
  <c r="H52" i="3" s="1"/>
  <c r="J52" i="3" s="1"/>
  <c r="F80" i="3"/>
  <c r="E80" i="3"/>
  <c r="G80" i="3" s="1"/>
  <c r="H80" i="3" s="1"/>
  <c r="O28" i="5"/>
  <c r="G3" i="5"/>
  <c r="F37" i="6"/>
  <c r="E37" i="6"/>
  <c r="G37" i="6" s="1"/>
  <c r="H37" i="6" s="1"/>
  <c r="F66" i="1"/>
  <c r="F65" i="1"/>
  <c r="I34" i="3"/>
  <c r="D34" i="3"/>
  <c r="E41" i="3"/>
  <c r="G41" i="3" s="1"/>
  <c r="H41" i="3" s="1"/>
  <c r="J41" i="3" s="1"/>
  <c r="F52" i="3"/>
  <c r="F56" i="3"/>
  <c r="E56" i="3"/>
  <c r="G56" i="3" s="1"/>
  <c r="H56" i="3" s="1"/>
  <c r="J56" i="3" s="1"/>
  <c r="I32" i="4"/>
  <c r="I41" i="4"/>
  <c r="H16" i="1"/>
  <c r="H89" i="1"/>
  <c r="H63" i="1"/>
  <c r="H40" i="1"/>
  <c r="I40" i="1" s="1"/>
  <c r="L40" i="1" s="1"/>
  <c r="F63" i="1"/>
  <c r="R28" i="3"/>
  <c r="T28" i="3" s="1"/>
  <c r="E44" i="3"/>
  <c r="F44" i="3"/>
  <c r="F48" i="3"/>
  <c r="D72" i="3"/>
  <c r="E79" i="3"/>
  <c r="G79" i="3" s="1"/>
  <c r="H79" i="3" s="1"/>
  <c r="J79" i="3" s="1"/>
  <c r="E85" i="3"/>
  <c r="G85" i="3" s="1"/>
  <c r="H85" i="3" s="1"/>
  <c r="J85" i="3" s="1"/>
  <c r="P25" i="4"/>
  <c r="Q25" i="4" s="1"/>
  <c r="I49" i="4"/>
  <c r="I51" i="4"/>
  <c r="I55" i="4"/>
  <c r="I81" i="4"/>
  <c r="I83" i="4"/>
  <c r="I87" i="4"/>
  <c r="F67" i="6"/>
  <c r="E67" i="6"/>
  <c r="H39" i="1"/>
  <c r="N25" i="4"/>
  <c r="B21" i="4"/>
  <c r="E43" i="6"/>
  <c r="F43" i="6"/>
  <c r="F83" i="6"/>
  <c r="E83" i="6"/>
  <c r="G83" i="6" s="1"/>
  <c r="H83" i="6" s="1"/>
  <c r="J83" i="6" s="1"/>
  <c r="O28" i="4"/>
  <c r="S28" i="4" s="1"/>
  <c r="D15" i="4"/>
  <c r="O26" i="4" s="1"/>
  <c r="P26" i="4" s="1"/>
  <c r="Q26" i="4" s="1"/>
  <c r="R26" i="4" s="1"/>
  <c r="E28" i="6"/>
  <c r="F28" i="6"/>
  <c r="F32" i="6"/>
  <c r="E32" i="6"/>
  <c r="G32" i="6" s="1"/>
  <c r="H32" i="6" s="1"/>
  <c r="J32" i="6" s="1"/>
  <c r="E44" i="6"/>
  <c r="F44" i="6"/>
  <c r="F49" i="6"/>
  <c r="E49" i="6"/>
  <c r="G49" i="6" s="1"/>
  <c r="H49" i="6" s="1"/>
  <c r="D42" i="3"/>
  <c r="D58" i="3"/>
  <c r="D91" i="3"/>
  <c r="E26" i="6"/>
  <c r="F26" i="6"/>
  <c r="E52" i="6"/>
  <c r="G52" i="6" s="1"/>
  <c r="H52" i="6" s="1"/>
  <c r="J52" i="6" s="1"/>
  <c r="F52" i="6"/>
  <c r="I57" i="3"/>
  <c r="I61" i="3"/>
  <c r="I65" i="3"/>
  <c r="I69" i="3"/>
  <c r="I73" i="3"/>
  <c r="I77" i="3"/>
  <c r="J77" i="3" s="1"/>
  <c r="G55" i="6"/>
  <c r="H55" i="6" s="1"/>
  <c r="J55" i="6" s="1"/>
  <c r="F87" i="6"/>
  <c r="E87" i="6"/>
  <c r="G87" i="6" s="1"/>
  <c r="H87" i="6" s="1"/>
  <c r="D15" i="5"/>
  <c r="O26" i="5" s="1"/>
  <c r="E27" i="6"/>
  <c r="F31" i="6"/>
  <c r="E31" i="6"/>
  <c r="G31" i="6" s="1"/>
  <c r="H31" i="6" s="1"/>
  <c r="J31" i="6" s="1"/>
  <c r="F27" i="6"/>
  <c r="F29" i="6"/>
  <c r="E29" i="6"/>
  <c r="D30" i="7"/>
  <c r="I30" i="7"/>
  <c r="I48" i="7"/>
  <c r="D48" i="7"/>
  <c r="D81" i="3"/>
  <c r="D89" i="3"/>
  <c r="F78" i="6"/>
  <c r="E78" i="6"/>
  <c r="O25" i="5"/>
  <c r="F55" i="6"/>
  <c r="D47" i="7"/>
  <c r="I47" i="7"/>
  <c r="I64" i="7"/>
  <c r="D64" i="7"/>
  <c r="D92" i="6"/>
  <c r="D88" i="6"/>
  <c r="D91" i="6"/>
  <c r="I87" i="6"/>
  <c r="D85" i="6"/>
  <c r="D81" i="6"/>
  <c r="D77" i="6"/>
  <c r="D73" i="6"/>
  <c r="D69" i="6"/>
  <c r="D65" i="6"/>
  <c r="D61" i="6"/>
  <c r="D57" i="6"/>
  <c r="I94" i="6"/>
  <c r="I93" i="6"/>
  <c r="D90" i="6"/>
  <c r="I86" i="6"/>
  <c r="I82" i="6"/>
  <c r="I78" i="6"/>
  <c r="I74" i="6"/>
  <c r="I70" i="6"/>
  <c r="I66" i="6"/>
  <c r="I62" i="6"/>
  <c r="I58" i="6"/>
  <c r="D89" i="6"/>
  <c r="D84" i="6"/>
  <c r="D80" i="6"/>
  <c r="D76" i="6"/>
  <c r="D72" i="6"/>
  <c r="D68" i="6"/>
  <c r="D64" i="6"/>
  <c r="D60" i="6"/>
  <c r="I88" i="6"/>
  <c r="D54" i="6"/>
  <c r="D50" i="6"/>
  <c r="D46" i="6"/>
  <c r="D42" i="6"/>
  <c r="D38" i="6"/>
  <c r="D34" i="6"/>
  <c r="D30" i="6"/>
  <c r="D93" i="6"/>
  <c r="I89" i="6"/>
  <c r="I83" i="6"/>
  <c r="I75" i="6"/>
  <c r="I67" i="6"/>
  <c r="I59" i="6"/>
  <c r="I55" i="6"/>
  <c r="I51" i="6"/>
  <c r="I47" i="6"/>
  <c r="I43" i="6"/>
  <c r="D86" i="6"/>
  <c r="D79" i="6"/>
  <c r="D75" i="6"/>
  <c r="I69" i="6"/>
  <c r="I38" i="6"/>
  <c r="I30" i="6"/>
  <c r="I27" i="6"/>
  <c r="I80" i="6"/>
  <c r="I76" i="6"/>
  <c r="I73" i="6"/>
  <c r="D58" i="6"/>
  <c r="D41" i="6"/>
  <c r="I37" i="6"/>
  <c r="D33" i="6"/>
  <c r="I29" i="6"/>
  <c r="I28" i="6"/>
  <c r="S27" i="6"/>
  <c r="D25" i="6"/>
  <c r="I91" i="6"/>
  <c r="I85" i="6"/>
  <c r="I71" i="6"/>
  <c r="D70" i="6"/>
  <c r="D63" i="6"/>
  <c r="D59" i="6"/>
  <c r="I56" i="6"/>
  <c r="I54" i="6"/>
  <c r="I53" i="6"/>
  <c r="I52" i="6"/>
  <c r="I50" i="6"/>
  <c r="I49" i="6"/>
  <c r="I48" i="6"/>
  <c r="I46" i="6"/>
  <c r="I45" i="6"/>
  <c r="I44" i="6"/>
  <c r="I42" i="6"/>
  <c r="I34" i="6"/>
  <c r="P28" i="6"/>
  <c r="Q28" i="6" s="1"/>
  <c r="R28" i="6" s="1"/>
  <c r="P27" i="6"/>
  <c r="Q27" i="6" s="1"/>
  <c r="R27" i="6" s="1"/>
  <c r="T27" i="6" s="1"/>
  <c r="I25" i="6"/>
  <c r="D94" i="6"/>
  <c r="D74" i="6"/>
  <c r="I64" i="6"/>
  <c r="I60" i="6"/>
  <c r="I57" i="6"/>
  <c r="D47" i="6"/>
  <c r="I39" i="6"/>
  <c r="D82" i="6"/>
  <c r="D66" i="6"/>
  <c r="D56" i="6"/>
  <c r="D48" i="6"/>
  <c r="I40" i="6"/>
  <c r="I36" i="6"/>
  <c r="I26" i="6"/>
  <c r="S28" i="6"/>
  <c r="I31" i="6"/>
  <c r="D45" i="6"/>
  <c r="F40" i="7"/>
  <c r="E40" i="7"/>
  <c r="G40" i="7" s="1"/>
  <c r="H40" i="7" s="1"/>
  <c r="J40" i="7" s="1"/>
  <c r="D54" i="7"/>
  <c r="I54" i="7"/>
  <c r="P25" i="6"/>
  <c r="Q25" i="6" s="1"/>
  <c r="R25" i="6" s="1"/>
  <c r="D36" i="6"/>
  <c r="D39" i="6"/>
  <c r="D51" i="6"/>
  <c r="D62" i="6"/>
  <c r="I84" i="6"/>
  <c r="D31" i="7"/>
  <c r="I31" i="7"/>
  <c r="T28" i="7"/>
  <c r="F38" i="7"/>
  <c r="E38" i="7"/>
  <c r="I56" i="7"/>
  <c r="D56" i="7"/>
  <c r="G59" i="7"/>
  <c r="H59" i="7" s="1"/>
  <c r="J59" i="7" s="1"/>
  <c r="D69" i="7"/>
  <c r="I69" i="7"/>
  <c r="D46" i="7"/>
  <c r="I46" i="7"/>
  <c r="D49" i="7"/>
  <c r="I49" i="7"/>
  <c r="D87" i="7"/>
  <c r="I87" i="7"/>
  <c r="J90" i="7"/>
  <c r="G26" i="7"/>
  <c r="H26" i="7" s="1"/>
  <c r="J26" i="7" s="1"/>
  <c r="D29" i="7"/>
  <c r="I29" i="7"/>
  <c r="D35" i="7"/>
  <c r="I35" i="7"/>
  <c r="D39" i="7"/>
  <c r="I39" i="7"/>
  <c r="D73" i="7"/>
  <c r="I73" i="7"/>
  <c r="F78" i="7"/>
  <c r="E78" i="7"/>
  <c r="G78" i="7" s="1"/>
  <c r="H78" i="7" s="1"/>
  <c r="J78" i="7" s="1"/>
  <c r="F25" i="7"/>
  <c r="E25" i="7"/>
  <c r="G25" i="7" s="1"/>
  <c r="H25" i="7" s="1"/>
  <c r="D37" i="7"/>
  <c r="I37" i="7"/>
  <c r="D62" i="7"/>
  <c r="I62" i="7"/>
  <c r="D82" i="7"/>
  <c r="I82" i="7"/>
  <c r="D27" i="7"/>
  <c r="I27" i="7"/>
  <c r="F51" i="7"/>
  <c r="E51" i="7"/>
  <c r="G51" i="7" s="1"/>
  <c r="H51" i="7" s="1"/>
  <c r="D60" i="7"/>
  <c r="I60" i="7"/>
  <c r="E66" i="7"/>
  <c r="G66" i="7" s="1"/>
  <c r="H66" i="7" s="1"/>
  <c r="J66" i="7" s="1"/>
  <c r="F77" i="7"/>
  <c r="E77" i="7"/>
  <c r="E80" i="7"/>
  <c r="G80" i="7" s="1"/>
  <c r="H80" i="7" s="1"/>
  <c r="J80" i="7" s="1"/>
  <c r="D93" i="7"/>
  <c r="I93" i="7"/>
  <c r="D28" i="7"/>
  <c r="D32" i="7"/>
  <c r="E41" i="7"/>
  <c r="G41" i="7" s="1"/>
  <c r="H41" i="7" s="1"/>
  <c r="J41" i="7" s="1"/>
  <c r="D55" i="7"/>
  <c r="I55" i="7"/>
  <c r="E57" i="7"/>
  <c r="G57" i="7" s="1"/>
  <c r="H57" i="7" s="1"/>
  <c r="F70" i="7"/>
  <c r="E70" i="7"/>
  <c r="G70" i="7" s="1"/>
  <c r="H70" i="7" s="1"/>
  <c r="J70" i="7" s="1"/>
  <c r="N25" i="7"/>
  <c r="F36" i="7"/>
  <c r="I44" i="7"/>
  <c r="J44" i="7" s="1"/>
  <c r="I58" i="7"/>
  <c r="J58" i="7" s="1"/>
  <c r="D65" i="7"/>
  <c r="I65" i="7"/>
  <c r="F68" i="7"/>
  <c r="E68" i="7"/>
  <c r="G68" i="7" s="1"/>
  <c r="H68" i="7" s="1"/>
  <c r="J68" i="7" s="1"/>
  <c r="D72" i="7"/>
  <c r="D74" i="7"/>
  <c r="I74" i="7"/>
  <c r="I77" i="7"/>
  <c r="F86" i="7"/>
  <c r="E86" i="7"/>
  <c r="G86" i="7" s="1"/>
  <c r="H86" i="7" s="1"/>
  <c r="J86" i="7" s="1"/>
  <c r="D88" i="7"/>
  <c r="F34" i="7"/>
  <c r="E34" i="7"/>
  <c r="G34" i="7" s="1"/>
  <c r="H34" i="7" s="1"/>
  <c r="J34" i="7" s="1"/>
  <c r="I41" i="7"/>
  <c r="I51" i="7"/>
  <c r="I57" i="7"/>
  <c r="F61" i="7"/>
  <c r="E61" i="7"/>
  <c r="G61" i="7" s="1"/>
  <c r="H61" i="7" s="1"/>
  <c r="J61" i="7" s="1"/>
  <c r="D63" i="7"/>
  <c r="I63" i="7"/>
  <c r="I66" i="7"/>
  <c r="F81" i="7"/>
  <c r="E81" i="7"/>
  <c r="G81" i="7" s="1"/>
  <c r="H81" i="7" s="1"/>
  <c r="J81" i="7" s="1"/>
  <c r="J84" i="7"/>
  <c r="O25" i="7"/>
  <c r="D16" i="7"/>
  <c r="O27" i="7" s="1"/>
  <c r="D15" i="7"/>
  <c r="O26" i="7" s="1"/>
  <c r="F45" i="7"/>
  <c r="E45" i="7"/>
  <c r="G45" i="7" s="1"/>
  <c r="H45" i="7" s="1"/>
  <c r="J45" i="7" s="1"/>
  <c r="F33" i="7"/>
  <c r="G33" i="7" s="1"/>
  <c r="H33" i="7" s="1"/>
  <c r="J33" i="7" s="1"/>
  <c r="E42" i="7"/>
  <c r="G42" i="7" s="1"/>
  <c r="H42" i="7" s="1"/>
  <c r="J42" i="7" s="1"/>
  <c r="F53" i="7"/>
  <c r="E53" i="7"/>
  <c r="E89" i="7"/>
  <c r="G89" i="7" s="1"/>
  <c r="H89" i="7" s="1"/>
  <c r="J89" i="7" s="1"/>
  <c r="F92" i="7"/>
  <c r="E92" i="7"/>
  <c r="G92" i="7" s="1"/>
  <c r="H92" i="7" s="1"/>
  <c r="J92" i="7" s="1"/>
  <c r="I94" i="7"/>
  <c r="D94" i="7"/>
  <c r="D91" i="7"/>
  <c r="I91" i="7"/>
  <c r="F70" i="6" l="1"/>
  <c r="E70" i="6"/>
  <c r="G70" i="6" s="1"/>
  <c r="H70" i="6" s="1"/>
  <c r="J70" i="6" s="1"/>
  <c r="E30" i="6"/>
  <c r="G30" i="6" s="1"/>
  <c r="H30" i="6" s="1"/>
  <c r="J30" i="6" s="1"/>
  <c r="F30" i="6"/>
  <c r="K63" i="1"/>
  <c r="G63" i="1"/>
  <c r="F40" i="4"/>
  <c r="E40" i="4"/>
  <c r="F72" i="4"/>
  <c r="E72" i="4"/>
  <c r="G72" i="4" s="1"/>
  <c r="H72" i="4" s="1"/>
  <c r="J72" i="4" s="1"/>
  <c r="F94" i="4"/>
  <c r="E94" i="4"/>
  <c r="F69" i="4"/>
  <c r="E69" i="4"/>
  <c r="G69" i="4" s="1"/>
  <c r="H69" i="4" s="1"/>
  <c r="J69" i="4" s="1"/>
  <c r="K51" i="1"/>
  <c r="G51" i="1"/>
  <c r="B51" i="1"/>
  <c r="F49" i="1"/>
  <c r="F50" i="1"/>
  <c r="F85" i="7"/>
  <c r="E85" i="7"/>
  <c r="G85" i="7" s="1"/>
  <c r="H85" i="7" s="1"/>
  <c r="J85" i="7" s="1"/>
  <c r="H6" i="2"/>
  <c r="E21" i="2" s="1"/>
  <c r="F86" i="3"/>
  <c r="E86" i="3"/>
  <c r="F74" i="7"/>
  <c r="E74" i="7"/>
  <c r="G74" i="7" s="1"/>
  <c r="H74" i="7" s="1"/>
  <c r="J74" i="7" s="1"/>
  <c r="F32" i="7"/>
  <c r="E32" i="7"/>
  <c r="G32" i="7" s="1"/>
  <c r="H32" i="7" s="1"/>
  <c r="J32" i="7" s="1"/>
  <c r="E85" i="6"/>
  <c r="F85" i="6"/>
  <c r="F81" i="3"/>
  <c r="E81" i="3"/>
  <c r="F72" i="3"/>
  <c r="E72" i="3"/>
  <c r="G72" i="3" s="1"/>
  <c r="H72" i="3" s="1"/>
  <c r="J72" i="3" s="1"/>
  <c r="E66" i="3"/>
  <c r="F66" i="3"/>
  <c r="F90" i="4"/>
  <c r="E90" i="4"/>
  <c r="G90" i="4" s="1"/>
  <c r="H90" i="4" s="1"/>
  <c r="J90" i="4" s="1"/>
  <c r="F43" i="4"/>
  <c r="E43" i="4"/>
  <c r="F75" i="4"/>
  <c r="E75" i="4"/>
  <c r="G75" i="4" s="1"/>
  <c r="H75" i="4" s="1"/>
  <c r="J75" i="4" s="1"/>
  <c r="F45" i="4"/>
  <c r="E45" i="4"/>
  <c r="G45" i="4" s="1"/>
  <c r="H45" i="4" s="1"/>
  <c r="J45" i="4" s="1"/>
  <c r="K39" i="1"/>
  <c r="G39" i="1"/>
  <c r="E31" i="3"/>
  <c r="G31" i="3" s="1"/>
  <c r="H31" i="3" s="1"/>
  <c r="J31" i="3" s="1"/>
  <c r="F31" i="3"/>
  <c r="G59" i="3"/>
  <c r="H59" i="3" s="1"/>
  <c r="J59" i="3" s="1"/>
  <c r="F27" i="3"/>
  <c r="E27" i="3"/>
  <c r="F72" i="7"/>
  <c r="E72" i="7"/>
  <c r="G72" i="7" s="1"/>
  <c r="H72" i="7" s="1"/>
  <c r="J72" i="7" s="1"/>
  <c r="F60" i="7"/>
  <c r="E60" i="7"/>
  <c r="F73" i="7"/>
  <c r="E73" i="7"/>
  <c r="G73" i="7" s="1"/>
  <c r="H73" i="7" s="1"/>
  <c r="J73" i="7" s="1"/>
  <c r="F31" i="7"/>
  <c r="E31" i="7"/>
  <c r="F58" i="6"/>
  <c r="E58" i="6"/>
  <c r="G58" i="6" s="1"/>
  <c r="H58" i="6" s="1"/>
  <c r="J58" i="6" s="1"/>
  <c r="F72" i="6"/>
  <c r="E72" i="6"/>
  <c r="F57" i="6"/>
  <c r="E57" i="6"/>
  <c r="G57" i="6" s="1"/>
  <c r="H57" i="6" s="1"/>
  <c r="J57" i="6" s="1"/>
  <c r="G43" i="6"/>
  <c r="H43" i="6" s="1"/>
  <c r="J43" i="6" s="1"/>
  <c r="G48" i="3"/>
  <c r="H48" i="3" s="1"/>
  <c r="J48" i="3" s="1"/>
  <c r="F27" i="4"/>
  <c r="E27" i="4"/>
  <c r="G27" i="4" s="1"/>
  <c r="H27" i="4" s="1"/>
  <c r="J27" i="4" s="1"/>
  <c r="F34" i="4"/>
  <c r="E34" i="4"/>
  <c r="F55" i="4"/>
  <c r="E55" i="4"/>
  <c r="G55" i="4" s="1"/>
  <c r="H55" i="4" s="1"/>
  <c r="J55" i="4" s="1"/>
  <c r="F76" i="4"/>
  <c r="E76" i="4"/>
  <c r="F49" i="4"/>
  <c r="E49" i="4"/>
  <c r="G49" i="4" s="1"/>
  <c r="H49" i="4" s="1"/>
  <c r="J49" i="4" s="1"/>
  <c r="G37" i="1"/>
  <c r="I37" i="1" s="1"/>
  <c r="K37" i="1"/>
  <c r="E83" i="3"/>
  <c r="F83" i="3"/>
  <c r="E55" i="3"/>
  <c r="F55" i="3"/>
  <c r="J51" i="7"/>
  <c r="F48" i="6"/>
  <c r="E48" i="6"/>
  <c r="E25" i="6"/>
  <c r="F25" i="6"/>
  <c r="F79" i="6"/>
  <c r="E79" i="6"/>
  <c r="E46" i="6"/>
  <c r="F46" i="6"/>
  <c r="F76" i="6"/>
  <c r="E76" i="6"/>
  <c r="F61" i="6"/>
  <c r="E61" i="6"/>
  <c r="G61" i="6" s="1"/>
  <c r="H61" i="6" s="1"/>
  <c r="J61" i="6" s="1"/>
  <c r="F91" i="6"/>
  <c r="E91" i="6"/>
  <c r="G27" i="6"/>
  <c r="H27" i="6" s="1"/>
  <c r="J27" i="6" s="1"/>
  <c r="E58" i="3"/>
  <c r="F58" i="3"/>
  <c r="D93" i="5"/>
  <c r="D89" i="5"/>
  <c r="D85" i="5"/>
  <c r="D81" i="5"/>
  <c r="D77" i="5"/>
  <c r="I94" i="5"/>
  <c r="D91" i="5"/>
  <c r="I87" i="5"/>
  <c r="I86" i="5"/>
  <c r="D83" i="5"/>
  <c r="I79" i="5"/>
  <c r="I78" i="5"/>
  <c r="D75" i="5"/>
  <c r="I72" i="5"/>
  <c r="I68" i="5"/>
  <c r="I64" i="5"/>
  <c r="I60" i="5"/>
  <c r="I56" i="5"/>
  <c r="I52" i="5"/>
  <c r="I48" i="5"/>
  <c r="I44" i="5"/>
  <c r="I40" i="5"/>
  <c r="I36" i="5"/>
  <c r="I93" i="5"/>
  <c r="I85" i="5"/>
  <c r="I77" i="5"/>
  <c r="I71" i="5"/>
  <c r="I67" i="5"/>
  <c r="I90" i="5"/>
  <c r="I89" i="5"/>
  <c r="D87" i="5"/>
  <c r="D74" i="5"/>
  <c r="D71" i="5"/>
  <c r="D70" i="5"/>
  <c r="D67" i="5"/>
  <c r="D66" i="5"/>
  <c r="I62" i="5"/>
  <c r="D59" i="5"/>
  <c r="D58" i="5"/>
  <c r="I54" i="5"/>
  <c r="D51" i="5"/>
  <c r="D50" i="5"/>
  <c r="I46" i="5"/>
  <c r="D43" i="5"/>
  <c r="D42" i="5"/>
  <c r="I38" i="5"/>
  <c r="D35" i="5"/>
  <c r="I32" i="5"/>
  <c r="S28" i="5"/>
  <c r="I28" i="5"/>
  <c r="I25" i="5"/>
  <c r="I92" i="5"/>
  <c r="I91" i="5"/>
  <c r="D88" i="5"/>
  <c r="I80" i="5"/>
  <c r="D78" i="5"/>
  <c r="D76" i="5"/>
  <c r="D65" i="5"/>
  <c r="I61" i="5"/>
  <c r="D57" i="5"/>
  <c r="I53" i="5"/>
  <c r="D49" i="5"/>
  <c r="I45" i="5"/>
  <c r="D41" i="5"/>
  <c r="I37" i="5"/>
  <c r="D34" i="5"/>
  <c r="D30" i="5"/>
  <c r="I84" i="5"/>
  <c r="I83" i="5"/>
  <c r="D80" i="5"/>
  <c r="I59" i="5"/>
  <c r="I51" i="5"/>
  <c r="I43" i="5"/>
  <c r="I35" i="5"/>
  <c r="D33" i="5"/>
  <c r="D29" i="5"/>
  <c r="P28" i="5"/>
  <c r="Q28" i="5" s="1"/>
  <c r="R28" i="5" s="1"/>
  <c r="D84" i="5"/>
  <c r="I81" i="5"/>
  <c r="I76" i="5"/>
  <c r="I57" i="5"/>
  <c r="D55" i="5"/>
  <c r="I41" i="5"/>
  <c r="D39" i="5"/>
  <c r="S26" i="5"/>
  <c r="I73" i="5"/>
  <c r="D62" i="5"/>
  <c r="I58" i="5"/>
  <c r="D56" i="5"/>
  <c r="D46" i="5"/>
  <c r="I42" i="5"/>
  <c r="D40" i="5"/>
  <c r="I30" i="5"/>
  <c r="I29" i="5"/>
  <c r="I27" i="5"/>
  <c r="D94" i="5"/>
  <c r="I82" i="5"/>
  <c r="D79" i="5"/>
  <c r="D72" i="5"/>
  <c r="I69" i="5"/>
  <c r="I63" i="5"/>
  <c r="D52" i="5"/>
  <c r="I47" i="5"/>
  <c r="D36" i="5"/>
  <c r="I31" i="5"/>
  <c r="D26" i="5"/>
  <c r="D86" i="5"/>
  <c r="I74" i="5"/>
  <c r="D68" i="5"/>
  <c r="D53" i="5"/>
  <c r="D37" i="5"/>
  <c r="S27" i="5"/>
  <c r="P26" i="5"/>
  <c r="Q26" i="5" s="1"/>
  <c r="R26" i="5" s="1"/>
  <c r="T26" i="5" s="1"/>
  <c r="D90" i="5"/>
  <c r="D60" i="5"/>
  <c r="I34" i="5"/>
  <c r="P27" i="5"/>
  <c r="Q27" i="5" s="1"/>
  <c r="R27" i="5" s="1"/>
  <c r="P25" i="5"/>
  <c r="Q25" i="5" s="1"/>
  <c r="R25" i="5" s="1"/>
  <c r="D69" i="5"/>
  <c r="I50" i="5"/>
  <c r="D47" i="5"/>
  <c r="D45" i="5"/>
  <c r="D38" i="5"/>
  <c r="D92" i="5"/>
  <c r="I70" i="5"/>
  <c r="I66" i="5"/>
  <c r="D63" i="5"/>
  <c r="D61" i="5"/>
  <c r="D54" i="5"/>
  <c r="D44" i="5"/>
  <c r="I26" i="5"/>
  <c r="I39" i="5"/>
  <c r="D48" i="5"/>
  <c r="I33" i="5"/>
  <c r="D82" i="5"/>
  <c r="I65" i="5"/>
  <c r="I49" i="5"/>
  <c r="D31" i="5"/>
  <c r="D25" i="5"/>
  <c r="D28" i="5"/>
  <c r="D73" i="5"/>
  <c r="D64" i="5"/>
  <c r="I75" i="5"/>
  <c r="D27" i="5"/>
  <c r="I55" i="5"/>
  <c r="S25" i="5"/>
  <c r="I88" i="5"/>
  <c r="D32" i="5"/>
  <c r="F71" i="7"/>
  <c r="E71" i="7"/>
  <c r="G71" i="7" s="1"/>
  <c r="H71" i="7" s="1"/>
  <c r="J71" i="7" s="1"/>
  <c r="J71" i="6"/>
  <c r="F25" i="4"/>
  <c r="E25" i="4"/>
  <c r="F35" i="4"/>
  <c r="E35" i="4"/>
  <c r="F46" i="4"/>
  <c r="E46" i="4"/>
  <c r="F56" i="4"/>
  <c r="E56" i="4"/>
  <c r="G56" i="4" s="1"/>
  <c r="H56" i="4" s="1"/>
  <c r="J56" i="4" s="1"/>
  <c r="F67" i="4"/>
  <c r="E67" i="4"/>
  <c r="F78" i="4"/>
  <c r="E78" i="4"/>
  <c r="F53" i="4"/>
  <c r="E53" i="4"/>
  <c r="F85" i="4"/>
  <c r="E85" i="4"/>
  <c r="G85" i="4" s="1"/>
  <c r="H85" i="4" s="1"/>
  <c r="J85" i="4" s="1"/>
  <c r="L37" i="1"/>
  <c r="G75" i="1"/>
  <c r="K75" i="1"/>
  <c r="G94" i="3"/>
  <c r="H94" i="3" s="1"/>
  <c r="J94" i="3" s="1"/>
  <c r="E43" i="3"/>
  <c r="G43" i="3" s="1"/>
  <c r="H43" i="3" s="1"/>
  <c r="J43" i="3" s="1"/>
  <c r="F43" i="3"/>
  <c r="G62" i="3"/>
  <c r="H62" i="3" s="1"/>
  <c r="J62" i="3" s="1"/>
  <c r="G51" i="3"/>
  <c r="H51" i="3" s="1"/>
  <c r="J51" i="3" s="1"/>
  <c r="T27" i="3"/>
  <c r="F76" i="7"/>
  <c r="E76" i="7"/>
  <c r="T26" i="3"/>
  <c r="E90" i="6"/>
  <c r="F90" i="6"/>
  <c r="F51" i="4"/>
  <c r="E51" i="4"/>
  <c r="F52" i="7"/>
  <c r="E52" i="7"/>
  <c r="F82" i="7"/>
  <c r="E82" i="7"/>
  <c r="F55" i="7"/>
  <c r="E55" i="7"/>
  <c r="G55" i="7" s="1"/>
  <c r="H55" i="7" s="1"/>
  <c r="J55" i="7" s="1"/>
  <c r="F77" i="6"/>
  <c r="E77" i="6"/>
  <c r="K66" i="1"/>
  <c r="B62" i="1"/>
  <c r="G66" i="1"/>
  <c r="I66" i="1" s="1"/>
  <c r="L66" i="1" s="1"/>
  <c r="K38" i="1"/>
  <c r="G38" i="1"/>
  <c r="I38" i="1" s="1"/>
  <c r="L38" i="1" s="1"/>
  <c r="F91" i="7"/>
  <c r="E91" i="7"/>
  <c r="G91" i="7" s="1"/>
  <c r="H91" i="7" s="1"/>
  <c r="J91" i="7" s="1"/>
  <c r="F29" i="7"/>
  <c r="E29" i="7"/>
  <c r="F46" i="7"/>
  <c r="E46" i="7"/>
  <c r="G46" i="7" s="1"/>
  <c r="H46" i="7" s="1"/>
  <c r="J46" i="7" s="1"/>
  <c r="T25" i="6"/>
  <c r="H9" i="6"/>
  <c r="E47" i="6"/>
  <c r="F47" i="6"/>
  <c r="T28" i="6"/>
  <c r="E34" i="6"/>
  <c r="G34" i="6" s="1"/>
  <c r="H34" i="6" s="1"/>
  <c r="J34" i="6" s="1"/>
  <c r="F34" i="6"/>
  <c r="F64" i="6"/>
  <c r="E64" i="6"/>
  <c r="F81" i="6"/>
  <c r="E81" i="6"/>
  <c r="G81" i="6" s="1"/>
  <c r="H81" i="6" s="1"/>
  <c r="J81" i="6" s="1"/>
  <c r="E89" i="3"/>
  <c r="G89" i="3" s="1"/>
  <c r="H89" i="3" s="1"/>
  <c r="J89" i="3" s="1"/>
  <c r="F89" i="3"/>
  <c r="G44" i="6"/>
  <c r="H44" i="6" s="1"/>
  <c r="J44" i="6" s="1"/>
  <c r="F31" i="4"/>
  <c r="E31" i="4"/>
  <c r="G31" i="4" s="1"/>
  <c r="H31" i="4" s="1"/>
  <c r="J31" i="4" s="1"/>
  <c r="F52" i="4"/>
  <c r="E52" i="4"/>
  <c r="G52" i="4" s="1"/>
  <c r="H52" i="4" s="1"/>
  <c r="J52" i="4" s="1"/>
  <c r="F84" i="4"/>
  <c r="E84" i="4"/>
  <c r="G84" i="4" s="1"/>
  <c r="H84" i="4" s="1"/>
  <c r="J84" i="4" s="1"/>
  <c r="F41" i="4"/>
  <c r="E41" i="4"/>
  <c r="F94" i="7"/>
  <c r="E94" i="7"/>
  <c r="F68" i="6"/>
  <c r="E68" i="6"/>
  <c r="G68" i="6" s="1"/>
  <c r="H68" i="6" s="1"/>
  <c r="J68" i="6" s="1"/>
  <c r="J37" i="6"/>
  <c r="F64" i="4"/>
  <c r="E64" i="4"/>
  <c r="F77" i="4"/>
  <c r="E77" i="4"/>
  <c r="G77" i="4" s="1"/>
  <c r="H77" i="4" s="1"/>
  <c r="J77" i="4" s="1"/>
  <c r="F79" i="7"/>
  <c r="E79" i="7"/>
  <c r="G79" i="7" s="1"/>
  <c r="H79" i="7" s="1"/>
  <c r="J79" i="7" s="1"/>
  <c r="F69" i="7"/>
  <c r="E69" i="7"/>
  <c r="F75" i="6"/>
  <c r="E75" i="6"/>
  <c r="F47" i="7"/>
  <c r="E47" i="7"/>
  <c r="P26" i="7"/>
  <c r="Q26" i="7" s="1"/>
  <c r="R26" i="7" s="1"/>
  <c r="S26" i="7"/>
  <c r="F88" i="7"/>
  <c r="E88" i="7"/>
  <c r="F74" i="6"/>
  <c r="E74" i="6"/>
  <c r="F86" i="6"/>
  <c r="E86" i="6"/>
  <c r="E50" i="6"/>
  <c r="F50" i="6"/>
  <c r="F88" i="6"/>
  <c r="E88" i="6"/>
  <c r="F42" i="3"/>
  <c r="E42" i="3"/>
  <c r="F36" i="4"/>
  <c r="E36" i="4"/>
  <c r="F89" i="4"/>
  <c r="E89" i="4"/>
  <c r="G89" i="4" s="1"/>
  <c r="H89" i="4" s="1"/>
  <c r="J89" i="4" s="1"/>
  <c r="J61" i="3"/>
  <c r="S27" i="7"/>
  <c r="P27" i="7"/>
  <c r="Q27" i="7" s="1"/>
  <c r="R27" i="7" s="1"/>
  <c r="J25" i="7"/>
  <c r="F51" i="6"/>
  <c r="E51" i="6"/>
  <c r="G51" i="6" s="1"/>
  <c r="H51" i="6" s="1"/>
  <c r="J51" i="6" s="1"/>
  <c r="F45" i="6"/>
  <c r="E45" i="6"/>
  <c r="F66" i="6"/>
  <c r="E66" i="6"/>
  <c r="F94" i="6"/>
  <c r="E94" i="6"/>
  <c r="G94" i="6" s="1"/>
  <c r="H94" i="6" s="1"/>
  <c r="J94" i="6" s="1"/>
  <c r="F59" i="6"/>
  <c r="E59" i="6"/>
  <c r="G59" i="6" s="1"/>
  <c r="H59" i="6" s="1"/>
  <c r="J59" i="6" s="1"/>
  <c r="F84" i="6"/>
  <c r="E84" i="6"/>
  <c r="F92" i="6"/>
  <c r="E92" i="6"/>
  <c r="J87" i="6"/>
  <c r="T26" i="4"/>
  <c r="J80" i="3"/>
  <c r="F59" i="4"/>
  <c r="E59" i="4"/>
  <c r="G59" i="4" s="1"/>
  <c r="H59" i="4" s="1"/>
  <c r="J59" i="4" s="1"/>
  <c r="F28" i="4"/>
  <c r="E28" i="4"/>
  <c r="F29" i="4"/>
  <c r="E29" i="4"/>
  <c r="G29" i="4" s="1"/>
  <c r="H29" i="4" s="1"/>
  <c r="J29" i="4" s="1"/>
  <c r="E93" i="4"/>
  <c r="G93" i="4" s="1"/>
  <c r="H93" i="4" s="1"/>
  <c r="J93" i="4" s="1"/>
  <c r="F93" i="4"/>
  <c r="K77" i="1"/>
  <c r="G77" i="1"/>
  <c r="I77" i="1" s="1"/>
  <c r="L77" i="1" s="1"/>
  <c r="E32" i="3"/>
  <c r="G32" i="3" s="1"/>
  <c r="H32" i="3" s="1"/>
  <c r="J32" i="3" s="1"/>
  <c r="F32" i="3"/>
  <c r="J53" i="6"/>
  <c r="G39" i="3"/>
  <c r="H39" i="3" s="1"/>
  <c r="J39" i="3" s="1"/>
  <c r="E63" i="3"/>
  <c r="F63" i="3"/>
  <c r="F36" i="6"/>
  <c r="E36" i="6"/>
  <c r="F33" i="6"/>
  <c r="E33" i="6"/>
  <c r="F60" i="6"/>
  <c r="E60" i="6"/>
  <c r="G60" i="6" s="1"/>
  <c r="H60" i="6" s="1"/>
  <c r="J60" i="6" s="1"/>
  <c r="F30" i="4"/>
  <c r="E30" i="4"/>
  <c r="G30" i="4" s="1"/>
  <c r="H30" i="4" s="1"/>
  <c r="J30" i="4" s="1"/>
  <c r="F62" i="4"/>
  <c r="E62" i="4"/>
  <c r="F83" i="4"/>
  <c r="E83" i="4"/>
  <c r="F37" i="4"/>
  <c r="E37" i="4"/>
  <c r="G37" i="4" s="1"/>
  <c r="H37" i="4" s="1"/>
  <c r="J37" i="4" s="1"/>
  <c r="F54" i="3"/>
  <c r="E54" i="3"/>
  <c r="G54" i="3" s="1"/>
  <c r="H54" i="3" s="1"/>
  <c r="J54" i="3" s="1"/>
  <c r="E67" i="3"/>
  <c r="G67" i="3" s="1"/>
  <c r="H67" i="3" s="1"/>
  <c r="J67" i="3" s="1"/>
  <c r="F67" i="3"/>
  <c r="F74" i="3"/>
  <c r="E74" i="3"/>
  <c r="G74" i="3" s="1"/>
  <c r="H74" i="3" s="1"/>
  <c r="J74" i="3" s="1"/>
  <c r="E91" i="4"/>
  <c r="G91" i="4" s="1"/>
  <c r="H91" i="4" s="1"/>
  <c r="J91" i="4" s="1"/>
  <c r="F91" i="4"/>
  <c r="F42" i="4"/>
  <c r="E42" i="4"/>
  <c r="G42" i="4" s="1"/>
  <c r="H42" i="4" s="1"/>
  <c r="J42" i="4" s="1"/>
  <c r="F63" i="4"/>
  <c r="E63" i="4"/>
  <c r="F74" i="4"/>
  <c r="E74" i="4"/>
  <c r="G74" i="4" s="1"/>
  <c r="H74" i="4" s="1"/>
  <c r="J74" i="4" s="1"/>
  <c r="F73" i="4"/>
  <c r="E73" i="4"/>
  <c r="T25" i="3"/>
  <c r="H12" i="3" s="1"/>
  <c r="H9" i="3"/>
  <c r="F52" i="1"/>
  <c r="F41" i="6"/>
  <c r="E41" i="6"/>
  <c r="G41" i="6" s="1"/>
  <c r="H41" i="6" s="1"/>
  <c r="J41" i="6" s="1"/>
  <c r="E38" i="6"/>
  <c r="G38" i="6" s="1"/>
  <c r="H38" i="6" s="1"/>
  <c r="J38" i="6" s="1"/>
  <c r="F38" i="6"/>
  <c r="G26" i="6"/>
  <c r="H26" i="6" s="1"/>
  <c r="J26" i="6" s="1"/>
  <c r="I63" i="1"/>
  <c r="L63" i="1" s="1"/>
  <c r="F32" i="4"/>
  <c r="E32" i="4"/>
  <c r="F54" i="4"/>
  <c r="E54" i="4"/>
  <c r="G54" i="4" s="1"/>
  <c r="H54" i="4" s="1"/>
  <c r="J54" i="4" s="1"/>
  <c r="F86" i="4"/>
  <c r="E86" i="4"/>
  <c r="I75" i="1"/>
  <c r="L75" i="1" s="1"/>
  <c r="G27" i="2"/>
  <c r="E34" i="2"/>
  <c r="G34" i="2" s="1"/>
  <c r="E71" i="3"/>
  <c r="G71" i="3" s="1"/>
  <c r="H71" i="3" s="1"/>
  <c r="J71" i="3" s="1"/>
  <c r="F71" i="3"/>
  <c r="F28" i="7"/>
  <c r="E28" i="7"/>
  <c r="G28" i="7" s="1"/>
  <c r="H28" i="7" s="1"/>
  <c r="J28" i="7" s="1"/>
  <c r="F62" i="7"/>
  <c r="E62" i="7"/>
  <c r="G62" i="7" s="1"/>
  <c r="H62" i="7" s="1"/>
  <c r="J62" i="7" s="1"/>
  <c r="F54" i="7"/>
  <c r="E54" i="7"/>
  <c r="E42" i="6"/>
  <c r="G42" i="6" s="1"/>
  <c r="H42" i="6" s="1"/>
  <c r="J42" i="6" s="1"/>
  <c r="F42" i="6"/>
  <c r="F48" i="7"/>
  <c r="E48" i="7"/>
  <c r="G48" i="7" s="1"/>
  <c r="H48" i="7" s="1"/>
  <c r="J48" i="7" s="1"/>
  <c r="E91" i="3"/>
  <c r="F91" i="3"/>
  <c r="F60" i="3"/>
  <c r="E60" i="3"/>
  <c r="F92" i="4"/>
  <c r="E92" i="4"/>
  <c r="G92" i="4" s="1"/>
  <c r="H92" i="4" s="1"/>
  <c r="J92" i="4" s="1"/>
  <c r="F44" i="4"/>
  <c r="E44" i="4"/>
  <c r="F66" i="4"/>
  <c r="E66" i="4"/>
  <c r="G66" i="4" s="1"/>
  <c r="H66" i="4" s="1"/>
  <c r="J66" i="4" s="1"/>
  <c r="F87" i="4"/>
  <c r="E87" i="4"/>
  <c r="F81" i="4"/>
  <c r="E81" i="4"/>
  <c r="G81" i="4" s="1"/>
  <c r="H81" i="4" s="1"/>
  <c r="J81" i="4" s="1"/>
  <c r="G78" i="1"/>
  <c r="I78" i="1" s="1"/>
  <c r="L78" i="1" s="1"/>
  <c r="K78" i="1"/>
  <c r="E26" i="3"/>
  <c r="G26" i="3" s="1"/>
  <c r="H26" i="3" s="1"/>
  <c r="J26" i="3" s="1"/>
  <c r="F26" i="3"/>
  <c r="E35" i="3"/>
  <c r="G35" i="3" s="1"/>
  <c r="H35" i="3" s="1"/>
  <c r="J35" i="3" s="1"/>
  <c r="F35" i="3"/>
  <c r="F63" i="7"/>
  <c r="E63" i="7"/>
  <c r="G63" i="7" s="1"/>
  <c r="H63" i="7" s="1"/>
  <c r="J63" i="7" s="1"/>
  <c r="F93" i="7"/>
  <c r="E93" i="7"/>
  <c r="G93" i="7" s="1"/>
  <c r="H93" i="7" s="1"/>
  <c r="J93" i="7" s="1"/>
  <c r="F37" i="7"/>
  <c r="E37" i="7"/>
  <c r="F39" i="7"/>
  <c r="E39" i="7"/>
  <c r="F87" i="7"/>
  <c r="E87" i="7"/>
  <c r="G87" i="7" s="1"/>
  <c r="H87" i="7" s="1"/>
  <c r="J87" i="7" s="1"/>
  <c r="F56" i="7"/>
  <c r="E56" i="7"/>
  <c r="G56" i="7" s="1"/>
  <c r="H56" i="7" s="1"/>
  <c r="J56" i="7" s="1"/>
  <c r="F62" i="6"/>
  <c r="E62" i="6"/>
  <c r="F56" i="6"/>
  <c r="E56" i="6"/>
  <c r="F80" i="6"/>
  <c r="E80" i="6"/>
  <c r="G80" i="6" s="1"/>
  <c r="H80" i="6" s="1"/>
  <c r="J80" i="6" s="1"/>
  <c r="F65" i="6"/>
  <c r="E65" i="6"/>
  <c r="G65" i="6" s="1"/>
  <c r="H65" i="6" s="1"/>
  <c r="J65" i="6" s="1"/>
  <c r="G28" i="6"/>
  <c r="H28" i="6" s="1"/>
  <c r="J28" i="6" s="1"/>
  <c r="G44" i="3"/>
  <c r="H44" i="3" s="1"/>
  <c r="J44" i="3" s="1"/>
  <c r="F34" i="3"/>
  <c r="E34" i="3"/>
  <c r="G40" i="3"/>
  <c r="H40" i="3" s="1"/>
  <c r="J40" i="3" s="1"/>
  <c r="F88" i="4"/>
  <c r="E88" i="4"/>
  <c r="F47" i="4"/>
  <c r="E47" i="4"/>
  <c r="G47" i="4" s="1"/>
  <c r="H47" i="4" s="1"/>
  <c r="J47" i="4" s="1"/>
  <c r="F58" i="4"/>
  <c r="E58" i="4"/>
  <c r="F68" i="4"/>
  <c r="E68" i="4"/>
  <c r="G68" i="4" s="1"/>
  <c r="H68" i="4" s="1"/>
  <c r="J68" i="4" s="1"/>
  <c r="F79" i="4"/>
  <c r="E79" i="4"/>
  <c r="F57" i="4"/>
  <c r="E57" i="4"/>
  <c r="G57" i="4" s="1"/>
  <c r="H57" i="4" s="1"/>
  <c r="J57" i="4" s="1"/>
  <c r="G87" i="3"/>
  <c r="H87" i="3" s="1"/>
  <c r="J87" i="3" s="1"/>
  <c r="G76" i="1"/>
  <c r="I76" i="1" s="1"/>
  <c r="L76" i="1" s="1"/>
  <c r="K76" i="1"/>
  <c r="J69" i="3"/>
  <c r="E25" i="3"/>
  <c r="F25" i="3"/>
  <c r="J57" i="7"/>
  <c r="E54" i="6"/>
  <c r="G54" i="6" s="1"/>
  <c r="H54" i="6" s="1"/>
  <c r="J54" i="6" s="1"/>
  <c r="F54" i="6"/>
  <c r="E69" i="6"/>
  <c r="F69" i="6"/>
  <c r="F30" i="7"/>
  <c r="E30" i="7"/>
  <c r="J49" i="6"/>
  <c r="I39" i="1"/>
  <c r="L39" i="1" s="1"/>
  <c r="F93" i="3"/>
  <c r="E93" i="3"/>
  <c r="F38" i="4"/>
  <c r="E38" i="4"/>
  <c r="G38" i="4" s="1"/>
  <c r="H38" i="4" s="1"/>
  <c r="J38" i="4" s="1"/>
  <c r="F48" i="4"/>
  <c r="E48" i="4"/>
  <c r="F70" i="4"/>
  <c r="E70" i="4"/>
  <c r="G70" i="4" s="1"/>
  <c r="H70" i="4" s="1"/>
  <c r="J70" i="4" s="1"/>
  <c r="F80" i="4"/>
  <c r="E80" i="4"/>
  <c r="F61" i="4"/>
  <c r="E61" i="4"/>
  <c r="G61" i="4" s="1"/>
  <c r="H61" i="4" s="1"/>
  <c r="J61" i="4" s="1"/>
  <c r="I36" i="1"/>
  <c r="L36" i="1" s="1"/>
  <c r="B42" i="1" s="1"/>
  <c r="L62" i="1"/>
  <c r="G53" i="7"/>
  <c r="H53" i="7" s="1"/>
  <c r="J53" i="7" s="1"/>
  <c r="S25" i="7"/>
  <c r="P25" i="7"/>
  <c r="Q25" i="7" s="1"/>
  <c r="R25" i="7" s="1"/>
  <c r="F65" i="7"/>
  <c r="E65" i="7"/>
  <c r="G77" i="7"/>
  <c r="H77" i="7" s="1"/>
  <c r="J77" i="7" s="1"/>
  <c r="F27" i="7"/>
  <c r="E27" i="7"/>
  <c r="F35" i="7"/>
  <c r="E35" i="7"/>
  <c r="G35" i="7" s="1"/>
  <c r="H35" i="7" s="1"/>
  <c r="J35" i="7" s="1"/>
  <c r="F49" i="7"/>
  <c r="E49" i="7"/>
  <c r="G38" i="7"/>
  <c r="H38" i="7" s="1"/>
  <c r="J38" i="7" s="1"/>
  <c r="F39" i="6"/>
  <c r="E39" i="6"/>
  <c r="G39" i="6" s="1"/>
  <c r="H39" i="6" s="1"/>
  <c r="J39" i="6" s="1"/>
  <c r="F82" i="6"/>
  <c r="E82" i="6"/>
  <c r="G82" i="6" s="1"/>
  <c r="H82" i="6" s="1"/>
  <c r="J82" i="6" s="1"/>
  <c r="F63" i="6"/>
  <c r="E63" i="6"/>
  <c r="E93" i="6"/>
  <c r="G93" i="6" s="1"/>
  <c r="H93" i="6" s="1"/>
  <c r="J93" i="6" s="1"/>
  <c r="F93" i="6"/>
  <c r="F89" i="6"/>
  <c r="E89" i="6"/>
  <c r="G89" i="6" s="1"/>
  <c r="H89" i="6" s="1"/>
  <c r="J89" i="6" s="1"/>
  <c r="F73" i="6"/>
  <c r="E73" i="6"/>
  <c r="G73" i="6" s="1"/>
  <c r="H73" i="6" s="1"/>
  <c r="J73" i="6" s="1"/>
  <c r="F64" i="7"/>
  <c r="E64" i="7"/>
  <c r="G78" i="6"/>
  <c r="H78" i="6" s="1"/>
  <c r="J78" i="6" s="1"/>
  <c r="G29" i="6"/>
  <c r="H29" i="6" s="1"/>
  <c r="J29" i="6" s="1"/>
  <c r="G67" i="6"/>
  <c r="H67" i="6" s="1"/>
  <c r="J67" i="6" s="1"/>
  <c r="R25" i="4"/>
  <c r="G65" i="1"/>
  <c r="I65" i="1" s="1"/>
  <c r="L65" i="1" s="1"/>
  <c r="K65" i="1"/>
  <c r="G26" i="4"/>
  <c r="H26" i="4" s="1"/>
  <c r="J26" i="4" s="1"/>
  <c r="F82" i="3"/>
  <c r="E82" i="3"/>
  <c r="F39" i="4"/>
  <c r="E39" i="4"/>
  <c r="G39" i="4" s="1"/>
  <c r="H39" i="4" s="1"/>
  <c r="J39" i="4" s="1"/>
  <c r="F50" i="4"/>
  <c r="E50" i="4"/>
  <c r="F60" i="4"/>
  <c r="E60" i="4"/>
  <c r="G60" i="4" s="1"/>
  <c r="H60" i="4" s="1"/>
  <c r="J60" i="4" s="1"/>
  <c r="F71" i="4"/>
  <c r="E71" i="4"/>
  <c r="F82" i="4"/>
  <c r="E82" i="4"/>
  <c r="G82" i="4" s="1"/>
  <c r="H82" i="4" s="1"/>
  <c r="J82" i="4" s="1"/>
  <c r="F33" i="4"/>
  <c r="E33" i="4"/>
  <c r="F65" i="4"/>
  <c r="E65" i="4"/>
  <c r="G65" i="4" s="1"/>
  <c r="H65" i="4" s="1"/>
  <c r="J65" i="4" s="1"/>
  <c r="B100" i="1"/>
  <c r="D100" i="1" s="1"/>
  <c r="H99" i="1" s="1"/>
  <c r="H25" i="1"/>
  <c r="H26" i="1" s="1"/>
  <c r="B89" i="1"/>
  <c r="F53" i="1"/>
  <c r="I51" i="1"/>
  <c r="L51" i="1" s="1"/>
  <c r="F88" i="3"/>
  <c r="E88" i="3"/>
  <c r="G88" i="3" s="1"/>
  <c r="H88" i="3" s="1"/>
  <c r="J88" i="3" s="1"/>
  <c r="G33" i="3"/>
  <c r="H33" i="3" s="1"/>
  <c r="J33" i="3" s="1"/>
  <c r="H4" i="1" l="1"/>
  <c r="B44" i="1"/>
  <c r="J4" i="1" s="1"/>
  <c r="J11" i="1" s="1"/>
  <c r="F36" i="5"/>
  <c r="E36" i="5"/>
  <c r="G36" i="5" s="1"/>
  <c r="H36" i="5" s="1"/>
  <c r="J36" i="5" s="1"/>
  <c r="E78" i="5"/>
  <c r="F78" i="5"/>
  <c r="E74" i="5"/>
  <c r="F74" i="5"/>
  <c r="T25" i="4"/>
  <c r="H12" i="4" s="1"/>
  <c r="H9" i="4"/>
  <c r="H100" i="1"/>
  <c r="I9" i="1" s="1"/>
  <c r="I16" i="1" s="1"/>
  <c r="G9" i="1"/>
  <c r="G64" i="7"/>
  <c r="H64" i="7" s="1"/>
  <c r="J64" i="7" s="1"/>
  <c r="G63" i="6"/>
  <c r="H63" i="6" s="1"/>
  <c r="J63" i="6" s="1"/>
  <c r="T25" i="7"/>
  <c r="H12" i="7" s="1"/>
  <c r="H9" i="7"/>
  <c r="G62" i="6"/>
  <c r="H62" i="6" s="1"/>
  <c r="J62" i="6" s="1"/>
  <c r="G37" i="7"/>
  <c r="H37" i="7" s="1"/>
  <c r="J37" i="7" s="1"/>
  <c r="G54" i="7"/>
  <c r="H54" i="7" s="1"/>
  <c r="J54" i="7" s="1"/>
  <c r="G52" i="1"/>
  <c r="I52" i="1" s="1"/>
  <c r="L52" i="1" s="1"/>
  <c r="K52" i="1"/>
  <c r="G62" i="4"/>
  <c r="H62" i="4" s="1"/>
  <c r="J62" i="4" s="1"/>
  <c r="G36" i="6"/>
  <c r="H36" i="6" s="1"/>
  <c r="J36" i="6" s="1"/>
  <c r="G84" i="6"/>
  <c r="H84" i="6" s="1"/>
  <c r="J84" i="6" s="1"/>
  <c r="G45" i="6"/>
  <c r="H45" i="6" s="1"/>
  <c r="J45" i="6" s="1"/>
  <c r="G88" i="6"/>
  <c r="H88" i="6" s="1"/>
  <c r="J88" i="6" s="1"/>
  <c r="G88" i="7"/>
  <c r="H88" i="7" s="1"/>
  <c r="J88" i="7" s="1"/>
  <c r="G69" i="7"/>
  <c r="H69" i="7" s="1"/>
  <c r="J69" i="7" s="1"/>
  <c r="G77" i="6"/>
  <c r="H77" i="6" s="1"/>
  <c r="J77" i="6" s="1"/>
  <c r="G51" i="4"/>
  <c r="H51" i="4" s="1"/>
  <c r="J51" i="4" s="1"/>
  <c r="G67" i="4"/>
  <c r="H67" i="4" s="1"/>
  <c r="J67" i="4" s="1"/>
  <c r="G25" i="4"/>
  <c r="H25" i="4" s="1"/>
  <c r="E54" i="5"/>
  <c r="F54" i="5"/>
  <c r="E47" i="5"/>
  <c r="F47" i="5"/>
  <c r="F56" i="5"/>
  <c r="E56" i="5"/>
  <c r="G56" i="5" s="1"/>
  <c r="H56" i="5" s="1"/>
  <c r="J56" i="5" s="1"/>
  <c r="F76" i="5"/>
  <c r="E76" i="5"/>
  <c r="G76" i="5" s="1"/>
  <c r="H76" i="5" s="1"/>
  <c r="J76" i="5" s="1"/>
  <c r="F51" i="5"/>
  <c r="E51" i="5"/>
  <c r="G51" i="5" s="1"/>
  <c r="H51" i="5" s="1"/>
  <c r="J51" i="5" s="1"/>
  <c r="F71" i="5"/>
  <c r="E71" i="5"/>
  <c r="G71" i="5" s="1"/>
  <c r="H71" i="5" s="1"/>
  <c r="J71" i="5" s="1"/>
  <c r="E93" i="5"/>
  <c r="F93" i="5"/>
  <c r="G76" i="6"/>
  <c r="H76" i="6" s="1"/>
  <c r="J76" i="6" s="1"/>
  <c r="G48" i="6"/>
  <c r="H48" i="6" s="1"/>
  <c r="J48" i="6" s="1"/>
  <c r="G34" i="4"/>
  <c r="H34" i="4" s="1"/>
  <c r="J34" i="4" s="1"/>
  <c r="G72" i="6"/>
  <c r="H72" i="6" s="1"/>
  <c r="J72" i="6" s="1"/>
  <c r="G60" i="7"/>
  <c r="H60" i="7" s="1"/>
  <c r="J60" i="7" s="1"/>
  <c r="G40" i="4"/>
  <c r="H40" i="4" s="1"/>
  <c r="J40" i="4" s="1"/>
  <c r="B81" i="1"/>
  <c r="G47" i="6"/>
  <c r="H47" i="6" s="1"/>
  <c r="J47" i="6" s="1"/>
  <c r="E82" i="5"/>
  <c r="F82" i="5"/>
  <c r="E63" i="5"/>
  <c r="F63" i="5"/>
  <c r="E69" i="5"/>
  <c r="F69" i="5"/>
  <c r="F37" i="5"/>
  <c r="E37" i="5"/>
  <c r="G37" i="5" s="1"/>
  <c r="H37" i="5" s="1"/>
  <c r="J37" i="5" s="1"/>
  <c r="E62" i="5"/>
  <c r="F62" i="5"/>
  <c r="F35" i="5"/>
  <c r="E35" i="5"/>
  <c r="G35" i="5" s="1"/>
  <c r="H35" i="5" s="1"/>
  <c r="J35" i="5" s="1"/>
  <c r="E58" i="5"/>
  <c r="F58" i="5"/>
  <c r="F87" i="5"/>
  <c r="E87" i="5"/>
  <c r="G87" i="5" s="1"/>
  <c r="H87" i="5" s="1"/>
  <c r="J87" i="5" s="1"/>
  <c r="F91" i="5"/>
  <c r="E91" i="5"/>
  <c r="G91" i="5" s="1"/>
  <c r="H91" i="5" s="1"/>
  <c r="J91" i="5" s="1"/>
  <c r="G58" i="3"/>
  <c r="H58" i="3" s="1"/>
  <c r="J58" i="3" s="1"/>
  <c r="G85" i="6"/>
  <c r="H85" i="6" s="1"/>
  <c r="J85" i="6" s="1"/>
  <c r="G21" i="2"/>
  <c r="E28" i="2"/>
  <c r="G28" i="2" s="1"/>
  <c r="G33" i="4"/>
  <c r="H33" i="4" s="1"/>
  <c r="J33" i="4" s="1"/>
  <c r="G50" i="4"/>
  <c r="H50" i="4" s="1"/>
  <c r="J50" i="4" s="1"/>
  <c r="G27" i="7"/>
  <c r="H27" i="7" s="1"/>
  <c r="B68" i="1"/>
  <c r="G48" i="4"/>
  <c r="H48" i="4" s="1"/>
  <c r="J48" i="4" s="1"/>
  <c r="G30" i="7"/>
  <c r="H30" i="7" s="1"/>
  <c r="J30" i="7" s="1"/>
  <c r="G25" i="3"/>
  <c r="H25" i="3" s="1"/>
  <c r="G79" i="4"/>
  <c r="H79" i="4" s="1"/>
  <c r="J79" i="4" s="1"/>
  <c r="G88" i="4"/>
  <c r="H88" i="4" s="1"/>
  <c r="J88" i="4" s="1"/>
  <c r="G44" i="4"/>
  <c r="H44" i="4" s="1"/>
  <c r="J44" i="4" s="1"/>
  <c r="G91" i="3"/>
  <c r="H91" i="3" s="1"/>
  <c r="J91" i="3" s="1"/>
  <c r="G86" i="4"/>
  <c r="H86" i="4" s="1"/>
  <c r="J86" i="4" s="1"/>
  <c r="G73" i="4"/>
  <c r="H73" i="4" s="1"/>
  <c r="J73" i="4" s="1"/>
  <c r="G63" i="3"/>
  <c r="H63" i="3" s="1"/>
  <c r="J63" i="3" s="1"/>
  <c r="G50" i="6"/>
  <c r="H50" i="6" s="1"/>
  <c r="J50" i="6" s="1"/>
  <c r="T26" i="7"/>
  <c r="G90" i="6"/>
  <c r="H90" i="6" s="1"/>
  <c r="J90" i="6" s="1"/>
  <c r="F64" i="5"/>
  <c r="E64" i="5"/>
  <c r="G64" i="5" s="1"/>
  <c r="H64" i="5" s="1"/>
  <c r="J64" i="5" s="1"/>
  <c r="H9" i="5"/>
  <c r="T25" i="5"/>
  <c r="F53" i="5"/>
  <c r="E53" i="5"/>
  <c r="G53" i="5" s="1"/>
  <c r="H53" i="5" s="1"/>
  <c r="J53" i="5" s="1"/>
  <c r="F52" i="5"/>
  <c r="E52" i="5"/>
  <c r="G52" i="5" s="1"/>
  <c r="H52" i="5" s="1"/>
  <c r="J52" i="5" s="1"/>
  <c r="F84" i="5"/>
  <c r="E84" i="5"/>
  <c r="G84" i="5" s="1"/>
  <c r="H84" i="5" s="1"/>
  <c r="J84" i="5" s="1"/>
  <c r="F80" i="5"/>
  <c r="E80" i="5"/>
  <c r="E49" i="5"/>
  <c r="F49" i="5"/>
  <c r="F88" i="5"/>
  <c r="E88" i="5"/>
  <c r="G88" i="5" s="1"/>
  <c r="H88" i="5" s="1"/>
  <c r="J88" i="5" s="1"/>
  <c r="F59" i="5"/>
  <c r="E59" i="5"/>
  <c r="G59" i="5" s="1"/>
  <c r="H59" i="5" s="1"/>
  <c r="J59" i="5" s="1"/>
  <c r="G46" i="6"/>
  <c r="H46" i="6" s="1"/>
  <c r="J46" i="6" s="1"/>
  <c r="G36" i="4"/>
  <c r="H36" i="4" s="1"/>
  <c r="J36" i="4" s="1"/>
  <c r="G86" i="6"/>
  <c r="H86" i="6" s="1"/>
  <c r="J86" i="6" s="1"/>
  <c r="G47" i="7"/>
  <c r="H47" i="7" s="1"/>
  <c r="J47" i="7" s="1"/>
  <c r="G94" i="7"/>
  <c r="H94" i="7" s="1"/>
  <c r="J94" i="7" s="1"/>
  <c r="G64" i="6"/>
  <c r="H64" i="6" s="1"/>
  <c r="J64" i="6" s="1"/>
  <c r="H12" i="6"/>
  <c r="G82" i="7"/>
  <c r="H82" i="7" s="1"/>
  <c r="J82" i="7" s="1"/>
  <c r="G53" i="4"/>
  <c r="H53" i="4" s="1"/>
  <c r="J53" i="4" s="1"/>
  <c r="G46" i="4"/>
  <c r="H46" i="4" s="1"/>
  <c r="J46" i="4" s="1"/>
  <c r="E73" i="5"/>
  <c r="F73" i="5"/>
  <c r="F48" i="5"/>
  <c r="E48" i="5"/>
  <c r="G48" i="5" s="1"/>
  <c r="H48" i="5" s="1"/>
  <c r="J48" i="5" s="1"/>
  <c r="T27" i="5"/>
  <c r="F68" i="5"/>
  <c r="E68" i="5"/>
  <c r="G68" i="5" s="1"/>
  <c r="H68" i="5" s="1"/>
  <c r="J68" i="5" s="1"/>
  <c r="T28" i="5"/>
  <c r="E42" i="5"/>
  <c r="F42" i="5"/>
  <c r="E75" i="5"/>
  <c r="F75" i="5"/>
  <c r="F77" i="5"/>
  <c r="E77" i="5"/>
  <c r="G77" i="5" s="1"/>
  <c r="H77" i="5" s="1"/>
  <c r="J77" i="5" s="1"/>
  <c r="G91" i="6"/>
  <c r="H91" i="6" s="1"/>
  <c r="J91" i="6" s="1"/>
  <c r="G79" i="6"/>
  <c r="H79" i="6" s="1"/>
  <c r="J79" i="6" s="1"/>
  <c r="G55" i="3"/>
  <c r="H55" i="3" s="1"/>
  <c r="J55" i="3" s="1"/>
  <c r="G76" i="4"/>
  <c r="H76" i="4" s="1"/>
  <c r="J76" i="4" s="1"/>
  <c r="G31" i="7"/>
  <c r="H31" i="7" s="1"/>
  <c r="J31" i="7" s="1"/>
  <c r="G27" i="3"/>
  <c r="H27" i="3" s="1"/>
  <c r="J27" i="3" s="1"/>
  <c r="G66" i="3"/>
  <c r="H66" i="3" s="1"/>
  <c r="J66" i="3" s="1"/>
  <c r="G94" i="4"/>
  <c r="H94" i="4" s="1"/>
  <c r="J94" i="4" s="1"/>
  <c r="F27" i="5"/>
  <c r="E27" i="5"/>
  <c r="F61" i="5"/>
  <c r="E61" i="5"/>
  <c r="G61" i="5" s="1"/>
  <c r="H61" i="5" s="1"/>
  <c r="J61" i="5" s="1"/>
  <c r="F94" i="5"/>
  <c r="E94" i="5"/>
  <c r="G94" i="5" s="1"/>
  <c r="H94" i="5" s="1"/>
  <c r="J94" i="5" s="1"/>
  <c r="E41" i="5"/>
  <c r="F41" i="5"/>
  <c r="B41" i="1"/>
  <c r="B49" i="1"/>
  <c r="G53" i="1"/>
  <c r="I53" i="1" s="1"/>
  <c r="L53" i="1" s="1"/>
  <c r="K53" i="1"/>
  <c r="B80" i="1"/>
  <c r="F32" i="5"/>
  <c r="E32" i="5"/>
  <c r="G32" i="5" s="1"/>
  <c r="H32" i="5" s="1"/>
  <c r="J32" i="5" s="1"/>
  <c r="F92" i="5"/>
  <c r="E92" i="5"/>
  <c r="G92" i="5" s="1"/>
  <c r="H92" i="5" s="1"/>
  <c r="J92" i="5" s="1"/>
  <c r="E39" i="5"/>
  <c r="F39" i="5"/>
  <c r="E81" i="5"/>
  <c r="F81" i="5"/>
  <c r="K50" i="1"/>
  <c r="G50" i="1"/>
  <c r="I50" i="1" s="1"/>
  <c r="L50" i="1" s="1"/>
  <c r="B55" i="1" s="1"/>
  <c r="B90" i="1"/>
  <c r="F89" i="1"/>
  <c r="F92" i="1"/>
  <c r="F88" i="1"/>
  <c r="F90" i="1"/>
  <c r="F91" i="1"/>
  <c r="G65" i="7"/>
  <c r="H65" i="7" s="1"/>
  <c r="J65" i="7" s="1"/>
  <c r="G69" i="6"/>
  <c r="H69" i="6" s="1"/>
  <c r="J69" i="6" s="1"/>
  <c r="G34" i="3"/>
  <c r="H34" i="3" s="1"/>
  <c r="J34" i="3" s="1"/>
  <c r="G56" i="6"/>
  <c r="H56" i="6" s="1"/>
  <c r="J56" i="6" s="1"/>
  <c r="G39" i="7"/>
  <c r="H39" i="7" s="1"/>
  <c r="J39" i="7" s="1"/>
  <c r="G83" i="4"/>
  <c r="H83" i="4" s="1"/>
  <c r="J83" i="4" s="1"/>
  <c r="G33" i="6"/>
  <c r="H33" i="6" s="1"/>
  <c r="J33" i="6" s="1"/>
  <c r="G92" i="6"/>
  <c r="H92" i="6" s="1"/>
  <c r="J92" i="6" s="1"/>
  <c r="G66" i="6"/>
  <c r="H66" i="6" s="1"/>
  <c r="J66" i="6" s="1"/>
  <c r="G42" i="3"/>
  <c r="H42" i="3" s="1"/>
  <c r="J42" i="3" s="1"/>
  <c r="G74" i="6"/>
  <c r="H74" i="6" s="1"/>
  <c r="J74" i="6" s="1"/>
  <c r="G75" i="6"/>
  <c r="H75" i="6" s="1"/>
  <c r="J75" i="6" s="1"/>
  <c r="B67" i="1"/>
  <c r="G52" i="7"/>
  <c r="H52" i="7" s="1"/>
  <c r="J52" i="7" s="1"/>
  <c r="G76" i="7"/>
  <c r="H76" i="7" s="1"/>
  <c r="J76" i="7" s="1"/>
  <c r="G78" i="4"/>
  <c r="H78" i="4" s="1"/>
  <c r="J78" i="4" s="1"/>
  <c r="G35" i="4"/>
  <c r="H35" i="4" s="1"/>
  <c r="J35" i="4" s="1"/>
  <c r="F25" i="5"/>
  <c r="E25" i="5"/>
  <c r="G25" i="5" s="1"/>
  <c r="H25" i="5" s="1"/>
  <c r="E38" i="5"/>
  <c r="F38" i="5"/>
  <c r="E60" i="5"/>
  <c r="F60" i="5"/>
  <c r="F86" i="5"/>
  <c r="E86" i="5"/>
  <c r="G86" i="5" s="1"/>
  <c r="H86" i="5" s="1"/>
  <c r="J86" i="5" s="1"/>
  <c r="F72" i="5"/>
  <c r="E72" i="5"/>
  <c r="G72" i="5" s="1"/>
  <c r="H72" i="5" s="1"/>
  <c r="J72" i="5" s="1"/>
  <c r="F33" i="5"/>
  <c r="E33" i="5"/>
  <c r="G33" i="5" s="1"/>
  <c r="H33" i="5" s="1"/>
  <c r="J33" i="5" s="1"/>
  <c r="E30" i="5"/>
  <c r="F30" i="5"/>
  <c r="F67" i="5"/>
  <c r="E67" i="5"/>
  <c r="G67" i="5" s="1"/>
  <c r="H67" i="5" s="1"/>
  <c r="J67" i="5" s="1"/>
  <c r="F85" i="5"/>
  <c r="E85" i="5"/>
  <c r="G85" i="5" s="1"/>
  <c r="H85" i="5" s="1"/>
  <c r="J85" i="5" s="1"/>
  <c r="K49" i="1"/>
  <c r="G49" i="1"/>
  <c r="I49" i="1" s="1"/>
  <c r="L49" i="1" s="1"/>
  <c r="F28" i="5"/>
  <c r="E28" i="5"/>
  <c r="G28" i="5" s="1"/>
  <c r="H28" i="5" s="1"/>
  <c r="J28" i="5" s="1"/>
  <c r="F40" i="5"/>
  <c r="E40" i="5"/>
  <c r="G40" i="5" s="1"/>
  <c r="H40" i="5" s="1"/>
  <c r="J40" i="5" s="1"/>
  <c r="F29" i="5"/>
  <c r="E29" i="5"/>
  <c r="G29" i="5" s="1"/>
  <c r="H29" i="5" s="1"/>
  <c r="J29" i="5" s="1"/>
  <c r="E57" i="5"/>
  <c r="F57" i="5"/>
  <c r="F43" i="5"/>
  <c r="E43" i="5"/>
  <c r="G43" i="5" s="1"/>
  <c r="H43" i="5" s="1"/>
  <c r="J43" i="5" s="1"/>
  <c r="E66" i="5"/>
  <c r="F66" i="5"/>
  <c r="H27" i="1"/>
  <c r="I3" i="1" s="1"/>
  <c r="I10" i="1" s="1"/>
  <c r="G3" i="1"/>
  <c r="G71" i="4"/>
  <c r="H71" i="4" s="1"/>
  <c r="J71" i="4" s="1"/>
  <c r="G82" i="3"/>
  <c r="H82" i="3" s="1"/>
  <c r="J82" i="3" s="1"/>
  <c r="G49" i="7"/>
  <c r="H49" i="7" s="1"/>
  <c r="J49" i="7" s="1"/>
  <c r="G80" i="4"/>
  <c r="H80" i="4" s="1"/>
  <c r="J80" i="4" s="1"/>
  <c r="G93" i="3"/>
  <c r="H93" i="3" s="1"/>
  <c r="J93" i="3" s="1"/>
  <c r="G58" i="4"/>
  <c r="H58" i="4" s="1"/>
  <c r="J58" i="4" s="1"/>
  <c r="G87" i="4"/>
  <c r="H87" i="4" s="1"/>
  <c r="J87" i="4" s="1"/>
  <c r="G60" i="3"/>
  <c r="H60" i="3" s="1"/>
  <c r="J60" i="3" s="1"/>
  <c r="G32" i="4"/>
  <c r="H32" i="4" s="1"/>
  <c r="J32" i="4" s="1"/>
  <c r="G63" i="4"/>
  <c r="H63" i="4" s="1"/>
  <c r="J63" i="4" s="1"/>
  <c r="G28" i="4"/>
  <c r="H28" i="4" s="1"/>
  <c r="J28" i="4" s="1"/>
  <c r="T27" i="7"/>
  <c r="G64" i="4"/>
  <c r="H64" i="4" s="1"/>
  <c r="J64" i="4" s="1"/>
  <c r="G41" i="4"/>
  <c r="H41" i="4" s="1"/>
  <c r="J41" i="4" s="1"/>
  <c r="G29" i="7"/>
  <c r="H29" i="7" s="1"/>
  <c r="J29" i="7" s="1"/>
  <c r="F31" i="5"/>
  <c r="E31" i="5"/>
  <c r="F44" i="5"/>
  <c r="E44" i="5"/>
  <c r="G44" i="5" s="1"/>
  <c r="H44" i="5" s="1"/>
  <c r="J44" i="5" s="1"/>
  <c r="F45" i="5"/>
  <c r="E45" i="5"/>
  <c r="G45" i="5" s="1"/>
  <c r="H45" i="5" s="1"/>
  <c r="J45" i="5" s="1"/>
  <c r="E90" i="5"/>
  <c r="F90" i="5"/>
  <c r="F26" i="5"/>
  <c r="E26" i="5"/>
  <c r="F79" i="5"/>
  <c r="E79" i="5"/>
  <c r="G79" i="5" s="1"/>
  <c r="H79" i="5" s="1"/>
  <c r="J79" i="5" s="1"/>
  <c r="E46" i="5"/>
  <c r="F46" i="5"/>
  <c r="E55" i="5"/>
  <c r="F55" i="5"/>
  <c r="E34" i="5"/>
  <c r="G34" i="5" s="1"/>
  <c r="H34" i="5" s="1"/>
  <c r="J34" i="5" s="1"/>
  <c r="F34" i="5"/>
  <c r="E65" i="5"/>
  <c r="F65" i="5"/>
  <c r="E50" i="5"/>
  <c r="F50" i="5"/>
  <c r="E70" i="5"/>
  <c r="F70" i="5"/>
  <c r="F83" i="5"/>
  <c r="E83" i="5"/>
  <c r="E89" i="5"/>
  <c r="F89" i="5"/>
  <c r="G25" i="6"/>
  <c r="H25" i="6" s="1"/>
  <c r="G83" i="3"/>
  <c r="H83" i="3" s="1"/>
  <c r="J83" i="3" s="1"/>
  <c r="G43" i="4"/>
  <c r="H43" i="4" s="1"/>
  <c r="J43" i="4" s="1"/>
  <c r="G81" i="3"/>
  <c r="H81" i="3" s="1"/>
  <c r="J81" i="3" s="1"/>
  <c r="G86" i="3"/>
  <c r="H86" i="3" s="1"/>
  <c r="J86" i="3" s="1"/>
  <c r="B52" i="1"/>
  <c r="B57" i="1" l="1"/>
  <c r="J5" i="1" s="1"/>
  <c r="J12" i="1" s="1"/>
  <c r="H5" i="1"/>
  <c r="G10" i="1"/>
  <c r="G89" i="1"/>
  <c r="I89" i="1" s="1"/>
  <c r="L89" i="1" s="1"/>
  <c r="K89" i="1"/>
  <c r="B43" i="1"/>
  <c r="I4" i="1" s="1"/>
  <c r="I11" i="1" s="1"/>
  <c r="G4" i="1"/>
  <c r="H6" i="1"/>
  <c r="B70" i="1"/>
  <c r="J6" i="1" s="1"/>
  <c r="J13" i="1" s="1"/>
  <c r="G62" i="5"/>
  <c r="H62" i="5" s="1"/>
  <c r="J62" i="5" s="1"/>
  <c r="G74" i="5"/>
  <c r="H74" i="5" s="1"/>
  <c r="J74" i="5" s="1"/>
  <c r="G55" i="5"/>
  <c r="H55" i="5" s="1"/>
  <c r="J55" i="5" s="1"/>
  <c r="G78" i="5"/>
  <c r="H78" i="5" s="1"/>
  <c r="J78" i="5" s="1"/>
  <c r="G50" i="5"/>
  <c r="H50" i="5" s="1"/>
  <c r="J50" i="5" s="1"/>
  <c r="G75" i="5"/>
  <c r="H75" i="5" s="1"/>
  <c r="J75" i="5" s="1"/>
  <c r="G90" i="1"/>
  <c r="I90" i="1" s="1"/>
  <c r="L90" i="1" s="1"/>
  <c r="K90" i="1"/>
  <c r="G47" i="5"/>
  <c r="H47" i="5" s="1"/>
  <c r="J47" i="5" s="1"/>
  <c r="G6" i="1"/>
  <c r="B69" i="1"/>
  <c r="I6" i="1" s="1"/>
  <c r="I13" i="1" s="1"/>
  <c r="G88" i="1"/>
  <c r="I88" i="1" s="1"/>
  <c r="L88" i="1" s="1"/>
  <c r="K88" i="1"/>
  <c r="G42" i="5"/>
  <c r="H42" i="5" s="1"/>
  <c r="J42" i="5" s="1"/>
  <c r="G73" i="5"/>
  <c r="H73" i="5" s="1"/>
  <c r="J73" i="5" s="1"/>
  <c r="G49" i="5"/>
  <c r="H49" i="5" s="1"/>
  <c r="J49" i="5" s="1"/>
  <c r="J25" i="5"/>
  <c r="H8" i="4"/>
  <c r="J25" i="4"/>
  <c r="H11" i="4" s="1"/>
  <c r="H13" i="4" s="1"/>
  <c r="H7" i="4"/>
  <c r="H10" i="4" s="1"/>
  <c r="E23" i="2" s="1"/>
  <c r="B91" i="1"/>
  <c r="J27" i="7"/>
  <c r="H11" i="7" s="1"/>
  <c r="H13" i="7" s="1"/>
  <c r="H8" i="7"/>
  <c r="H7" i="7"/>
  <c r="H10" i="7" s="1"/>
  <c r="E26" i="2" s="1"/>
  <c r="G82" i="5"/>
  <c r="H82" i="5" s="1"/>
  <c r="J82" i="5" s="1"/>
  <c r="G70" i="5"/>
  <c r="H70" i="5" s="1"/>
  <c r="J70" i="5" s="1"/>
  <c r="G90" i="5"/>
  <c r="H90" i="5" s="1"/>
  <c r="J90" i="5" s="1"/>
  <c r="G41" i="5"/>
  <c r="H41" i="5" s="1"/>
  <c r="J41" i="5" s="1"/>
  <c r="G66" i="5"/>
  <c r="H66" i="5" s="1"/>
  <c r="J66" i="5" s="1"/>
  <c r="B83" i="1"/>
  <c r="J7" i="1" s="1"/>
  <c r="J14" i="1" s="1"/>
  <c r="H7" i="1"/>
  <c r="G93" i="5"/>
  <c r="H93" i="5" s="1"/>
  <c r="J93" i="5" s="1"/>
  <c r="H8" i="6"/>
  <c r="H7" i="6"/>
  <c r="J25" i="6"/>
  <c r="H11" i="6" s="1"/>
  <c r="H13" i="6" s="1"/>
  <c r="G46" i="5"/>
  <c r="H46" i="5" s="1"/>
  <c r="J46" i="5" s="1"/>
  <c r="G91" i="1"/>
  <c r="I91" i="1" s="1"/>
  <c r="L91" i="1" s="1"/>
  <c r="K91" i="1"/>
  <c r="B82" i="1"/>
  <c r="I7" i="1" s="1"/>
  <c r="I14" i="1" s="1"/>
  <c r="G7" i="1"/>
  <c r="G16" i="1"/>
  <c r="G30" i="5"/>
  <c r="H30" i="5" s="1"/>
  <c r="J30" i="5" s="1"/>
  <c r="G60" i="5"/>
  <c r="H60" i="5" s="1"/>
  <c r="J60" i="5" s="1"/>
  <c r="G81" i="5"/>
  <c r="H81" i="5" s="1"/>
  <c r="J81" i="5" s="1"/>
  <c r="H8" i="3"/>
  <c r="H7" i="3"/>
  <c r="J25" i="3"/>
  <c r="H11" i="3" s="1"/>
  <c r="H13" i="3" s="1"/>
  <c r="G58" i="5"/>
  <c r="H58" i="5" s="1"/>
  <c r="J58" i="5" s="1"/>
  <c r="G69" i="5"/>
  <c r="H69" i="5" s="1"/>
  <c r="J69" i="5" s="1"/>
  <c r="G89" i="5"/>
  <c r="H89" i="5" s="1"/>
  <c r="J89" i="5" s="1"/>
  <c r="G65" i="5"/>
  <c r="H65" i="5" s="1"/>
  <c r="J65" i="5" s="1"/>
  <c r="B54" i="1"/>
  <c r="G83" i="5"/>
  <c r="H83" i="5" s="1"/>
  <c r="J83" i="5" s="1"/>
  <c r="G26" i="5"/>
  <c r="H26" i="5" s="1"/>
  <c r="J26" i="5" s="1"/>
  <c r="G31" i="5"/>
  <c r="H31" i="5" s="1"/>
  <c r="J31" i="5" s="1"/>
  <c r="G57" i="5"/>
  <c r="H57" i="5" s="1"/>
  <c r="J57" i="5" s="1"/>
  <c r="G38" i="5"/>
  <c r="H38" i="5" s="1"/>
  <c r="J38" i="5" s="1"/>
  <c r="G92" i="1"/>
  <c r="I92" i="1" s="1"/>
  <c r="L92" i="1" s="1"/>
  <c r="B88" i="1"/>
  <c r="K92" i="1"/>
  <c r="G39" i="5"/>
  <c r="H39" i="5" s="1"/>
  <c r="J39" i="5" s="1"/>
  <c r="G27" i="5"/>
  <c r="H27" i="5" s="1"/>
  <c r="J27" i="5" s="1"/>
  <c r="G80" i="5"/>
  <c r="H80" i="5" s="1"/>
  <c r="J80" i="5" s="1"/>
  <c r="H12" i="5"/>
  <c r="G63" i="5"/>
  <c r="H63" i="5" s="1"/>
  <c r="J63" i="5" s="1"/>
  <c r="G54" i="5"/>
  <c r="H54" i="5" s="1"/>
  <c r="J54" i="5" s="1"/>
  <c r="H11" i="1"/>
  <c r="G23" i="2" l="1"/>
  <c r="E30" i="2"/>
  <c r="G30" i="2" s="1"/>
  <c r="G11" i="1"/>
  <c r="H10" i="6"/>
  <c r="E25" i="2" s="1"/>
  <c r="H14" i="4"/>
  <c r="F23" i="2" s="1"/>
  <c r="H14" i="3"/>
  <c r="F22" i="2" s="1"/>
  <c r="G14" i="1"/>
  <c r="H7" i="5"/>
  <c r="G13" i="1"/>
  <c r="H10" i="3"/>
  <c r="E22" i="2" s="1"/>
  <c r="H14" i="1"/>
  <c r="H8" i="5"/>
  <c r="E33" i="2"/>
  <c r="G33" i="2" s="1"/>
  <c r="G26" i="2"/>
  <c r="H11" i="5"/>
  <c r="H13" i="5" s="1"/>
  <c r="H14" i="7"/>
  <c r="F26" i="2" s="1"/>
  <c r="B56" i="1"/>
  <c r="I5" i="1" s="1"/>
  <c r="I12" i="1" s="1"/>
  <c r="G5" i="1"/>
  <c r="H12" i="1"/>
  <c r="B93" i="1"/>
  <c r="B94" i="1"/>
  <c r="H13" i="1"/>
  <c r="F29" i="2" l="1"/>
  <c r="H29" i="2" s="1"/>
  <c r="H22" i="2"/>
  <c r="G12" i="1"/>
  <c r="F33" i="2"/>
  <c r="H33" i="2" s="1"/>
  <c r="H26" i="2"/>
  <c r="H10" i="5"/>
  <c r="E24" i="2" s="1"/>
  <c r="E29" i="2"/>
  <c r="G29" i="2" s="1"/>
  <c r="G22" i="2"/>
  <c r="G25" i="2"/>
  <c r="E32" i="2"/>
  <c r="G32" i="2" s="1"/>
  <c r="H14" i="6"/>
  <c r="F25" i="2" s="1"/>
  <c r="B96" i="1"/>
  <c r="J8" i="1" s="1"/>
  <c r="J15" i="1" s="1"/>
  <c r="H8" i="1"/>
  <c r="B95" i="1"/>
  <c r="I8" i="1" s="1"/>
  <c r="I15" i="1" s="1"/>
  <c r="G8" i="1"/>
  <c r="F30" i="2"/>
  <c r="H30" i="2" s="1"/>
  <c r="H23" i="2"/>
  <c r="G15" i="1" l="1"/>
  <c r="H15" i="1"/>
  <c r="E31" i="2"/>
  <c r="G31" i="2" s="1"/>
  <c r="G24" i="2"/>
  <c r="H14" i="5"/>
  <c r="F24" i="2" s="1"/>
  <c r="H25" i="2"/>
  <c r="F32" i="2"/>
  <c r="H32" i="2" s="1"/>
  <c r="F31" i="2" l="1"/>
  <c r="H31" i="2" s="1"/>
  <c r="H24" i="2"/>
</calcChain>
</file>

<file path=xl/sharedStrings.xml><?xml version="1.0" encoding="utf-8"?>
<sst xmlns="http://schemas.openxmlformats.org/spreadsheetml/2006/main" count="632" uniqueCount="125">
  <si>
    <t>DATOS DEL PROBLEMA</t>
  </si>
  <si>
    <t>Dimensiones</t>
  </si>
  <si>
    <t>Propiedades Acero</t>
  </si>
  <si>
    <t>b [mm]</t>
  </si>
  <si>
    <t>fy [MPa]</t>
  </si>
  <si>
    <t>A</t>
  </si>
  <si>
    <t>h [mm]</t>
  </si>
  <si>
    <t>Es [GPa]</t>
  </si>
  <si>
    <t>B</t>
  </si>
  <si>
    <t>rec [mm]</t>
  </si>
  <si>
    <t>εy</t>
  </si>
  <si>
    <t>C</t>
  </si>
  <si>
    <t>Propiedades Hormigón</t>
  </si>
  <si>
    <t>N°Barras - 1</t>
  </si>
  <si>
    <t>D</t>
  </si>
  <si>
    <t>fc' [MPa]</t>
  </si>
  <si>
    <t>N°Barras - 2</t>
  </si>
  <si>
    <t>E</t>
  </si>
  <si>
    <t>Ec [GPa]</t>
  </si>
  <si>
    <t>N°Barras - 3</t>
  </si>
  <si>
    <t>F</t>
  </si>
  <si>
    <t>B1</t>
  </si>
  <si>
    <t>N°Barras - 4</t>
  </si>
  <si>
    <t>G</t>
  </si>
  <si>
    <t>εcu</t>
  </si>
  <si>
    <t>-A</t>
  </si>
  <si>
    <t>Areas</t>
  </si>
  <si>
    <t>Diametro 1 [mm]</t>
  </si>
  <si>
    <t>-B</t>
  </si>
  <si>
    <t>Ag [mm2]</t>
  </si>
  <si>
    <t>Diametro 2 [mm]</t>
  </si>
  <si>
    <t>-C</t>
  </si>
  <si>
    <t>A1 [mm2]</t>
  </si>
  <si>
    <t>Diametro 3 [mm]</t>
  </si>
  <si>
    <t>-D</t>
  </si>
  <si>
    <t>A2 [mm2]</t>
  </si>
  <si>
    <t>Diametro 4 [mm]</t>
  </si>
  <si>
    <t>-E</t>
  </si>
  <si>
    <t>A3 [mm2]</t>
  </si>
  <si>
    <t>Diametro 5 [mm]</t>
  </si>
  <si>
    <t>-F</t>
  </si>
  <si>
    <t>A4 [mm2]</t>
  </si>
  <si>
    <t>d1 [mm]</t>
  </si>
  <si>
    <t>-G</t>
  </si>
  <si>
    <t>A5 [mm2]</t>
  </si>
  <si>
    <t>d2 [mm]</t>
  </si>
  <si>
    <t>Ast [mm2]</t>
  </si>
  <si>
    <t>d3 [mm]</t>
  </si>
  <si>
    <t>d4 [mm]</t>
  </si>
  <si>
    <t>d5 [mm]</t>
  </si>
  <si>
    <t>Punto A (Compresion Pura)</t>
  </si>
  <si>
    <t>Resultados</t>
  </si>
  <si>
    <t>Fila</t>
  </si>
  <si>
    <t>Asi [mm2]</t>
  </si>
  <si>
    <t>fsi [MPa]</t>
  </si>
  <si>
    <t>Fsi [kN]</t>
  </si>
  <si>
    <t>Estado</t>
  </si>
  <si>
    <t>P0 [kN]</t>
  </si>
  <si>
    <t>Pn,max [kN]</t>
  </si>
  <si>
    <t>ΦPn,max [kN]</t>
  </si>
  <si>
    <t>Mn [kN*m]</t>
  </si>
  <si>
    <t>ΦMn [kN*m]</t>
  </si>
  <si>
    <t>Pregunta 2.B</t>
  </si>
  <si>
    <t>Punto B (Desf. nula fibra inferior)</t>
  </si>
  <si>
    <t>εc</t>
  </si>
  <si>
    <t>di [mm]</t>
  </si>
  <si>
    <t>εsi</t>
  </si>
  <si>
    <t>h/2 - di [mm]</t>
  </si>
  <si>
    <t>c</t>
  </si>
  <si>
    <t>a</t>
  </si>
  <si>
    <t>Cc</t>
  </si>
  <si>
    <t>Pregunta 2.C</t>
  </si>
  <si>
    <t>Punto C (Balance)</t>
  </si>
  <si>
    <t>εt</t>
  </si>
  <si>
    <t>Pregunta 2.D</t>
  </si>
  <si>
    <t>Punto D (Desf. εs=0,003)</t>
  </si>
  <si>
    <t>Pregunta 2.E</t>
  </si>
  <si>
    <t>Punto  E(Desf. εs=0,005)</t>
  </si>
  <si>
    <t>Pregunta 2.F</t>
  </si>
  <si>
    <t>Punto  F (Fleccion Pura)</t>
  </si>
  <si>
    <t>Punto G (Traccion Pura)</t>
  </si>
  <si>
    <t xml:space="preserve">Compresion Pura </t>
  </si>
  <si>
    <t>UHPC compresión [kN]</t>
  </si>
  <si>
    <t>UHPC tracción [kN]</t>
  </si>
  <si>
    <t>Acero total [kN]</t>
  </si>
  <si>
    <t>Pn [kN]</t>
  </si>
  <si>
    <t>Mn [kN·m]</t>
  </si>
  <si>
    <t>ft [MPa]</t>
  </si>
  <si>
    <t>Ec [MPa]</t>
  </si>
  <si>
    <t>αu</t>
  </si>
  <si>
    <t xml:space="preserve">Traccion Pura </t>
  </si>
  <si>
    <t>εt,loc</t>
  </si>
  <si>
    <t>εcp</t>
  </si>
  <si>
    <t>εt,cr</t>
  </si>
  <si>
    <t>Resumen</t>
  </si>
  <si>
    <t xml:space="preserve">Supuesto </t>
  </si>
  <si>
    <t>Punto</t>
  </si>
  <si>
    <t>Estribo = Φ10</t>
  </si>
  <si>
    <t>c[mm]</t>
  </si>
  <si>
    <t>rec &gt; 25[mm]</t>
  </si>
  <si>
    <t>Δy [mm]</t>
  </si>
  <si>
    <t>M_EN UHPC [kN·m]</t>
  </si>
  <si>
    <t>M_EN acero [kN·m]</t>
  </si>
  <si>
    <t>M_EN total [kN·m]</t>
  </si>
  <si>
    <t>Franja</t>
  </si>
  <si>
    <t>yi [mm]</t>
  </si>
  <si>
    <t>εi</t>
  </si>
  <si>
    <t>σc UHPC [MPa]</t>
  </si>
  <si>
    <t>σt UHPC [MPa]</t>
  </si>
  <si>
    <t>σ UHPC [MPa]</t>
  </si>
  <si>
    <t>F UHPC [MPa]</t>
  </si>
  <si>
    <t>c-yi[mm]</t>
  </si>
  <si>
    <t>Fila acero</t>
  </si>
  <si>
    <t>Nº barras</t>
  </si>
  <si>
    <t>As [mm²]</t>
  </si>
  <si>
    <t>εs</t>
  </si>
  <si>
    <t>fs [MPa]</t>
  </si>
  <si>
    <t>Fs [kN]</t>
  </si>
  <si>
    <t>c-di [mm]</t>
  </si>
  <si>
    <t>ΦMn [kN·m]</t>
  </si>
  <si>
    <t>N°Barras - 5</t>
  </si>
  <si>
    <t>Momento respecto h/2 [kN·mm]</t>
  </si>
  <si>
    <t>ε barra d5</t>
  </si>
  <si>
    <t>ΦPn [kN]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</si>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</sst>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0"/>
    <numFmt numFmtId="168" formatCode="0.0000"/>
  </numFmts>
  <fonts count="5" x14ac:knownFonts="1">
    <font>
      <sz val="10"/>
      <color rgb="FF000000"/>
      <name val="Arial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</fills>
  <borders count="3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3">
    <xf numFmtId="0" fontId="0" fillId="0" borderId="0" xfId="0"/>
    <xf numFmtId="164" fontId="1" fillId="0" borderId="0" xfId="0" applyNumberFormat="1" applyFont="1" applyAlignment="1">
      <alignment horizontal="center"/>
    </xf>
    <xf numFmtId="0" fontId="3" fillId="0" borderId="6" xfId="0" applyFont="1" applyBorder="1"/>
    <xf numFmtId="164" fontId="3" fillId="0" borderId="7" xfId="0" applyNumberFormat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165" fontId="3" fillId="0" borderId="9" xfId="0" applyNumberFormat="1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1" fontId="3" fillId="0" borderId="11" xfId="0" applyNumberFormat="1" applyFont="1" applyBorder="1" applyAlignment="1">
      <alignment horizontal="center"/>
    </xf>
    <xf numFmtId="0" fontId="3" fillId="2" borderId="7" xfId="0" applyFont="1" applyFill="1" applyBorder="1"/>
    <xf numFmtId="164" fontId="3" fillId="2" borderId="12" xfId="0" applyNumberFormat="1" applyFont="1" applyFill="1" applyBorder="1" applyAlignment="1">
      <alignment horizontal="right"/>
    </xf>
    <xf numFmtId="164" fontId="3" fillId="2" borderId="6" xfId="0" applyNumberFormat="1" applyFont="1" applyFill="1" applyBorder="1" applyAlignment="1">
      <alignment horizontal="right"/>
    </xf>
    <xf numFmtId="164" fontId="3" fillId="2" borderId="7" xfId="0" applyNumberFormat="1" applyFont="1" applyFill="1" applyBorder="1" applyAlignment="1">
      <alignment horizontal="right"/>
    </xf>
    <xf numFmtId="0" fontId="4" fillId="0" borderId="0" xfId="0" applyFont="1"/>
    <xf numFmtId="164" fontId="3" fillId="0" borderId="13" xfId="0" applyNumberFormat="1" applyFont="1" applyBorder="1" applyAlignment="1">
      <alignment horizontal="center"/>
    </xf>
    <xf numFmtId="165" fontId="3" fillId="0" borderId="10" xfId="0" applyNumberFormat="1" applyFont="1" applyBorder="1" applyAlignment="1">
      <alignment horizontal="center"/>
    </xf>
    <xf numFmtId="0" fontId="3" fillId="2" borderId="14" xfId="0" applyFont="1" applyFill="1" applyBorder="1"/>
    <xf numFmtId="165" fontId="3" fillId="2" borderId="0" xfId="0" applyNumberFormat="1" applyFont="1" applyFill="1" applyAlignment="1">
      <alignment horizontal="right"/>
    </xf>
    <xf numFmtId="165" fontId="3" fillId="2" borderId="15" xfId="0" applyNumberFormat="1" applyFont="1" applyFill="1" applyBorder="1" applyAlignment="1">
      <alignment horizontal="right"/>
    </xf>
    <xf numFmtId="165" fontId="3" fillId="2" borderId="14" xfId="0" applyNumberFormat="1" applyFont="1" applyFill="1" applyBorder="1" applyAlignment="1">
      <alignment horizontal="right"/>
    </xf>
    <xf numFmtId="165" fontId="3" fillId="0" borderId="6" xfId="0" applyNumberFormat="1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164" fontId="3" fillId="2" borderId="0" xfId="0" applyNumberFormat="1" applyFont="1" applyFill="1" applyAlignment="1">
      <alignment horizontal="right"/>
    </xf>
    <xf numFmtId="2" fontId="3" fillId="2" borderId="15" xfId="0" applyNumberFormat="1" applyFont="1" applyFill="1" applyBorder="1" applyAlignment="1">
      <alignment horizontal="right"/>
    </xf>
    <xf numFmtId="1" fontId="3" fillId="2" borderId="15" xfId="0" applyNumberFormat="1" applyFont="1" applyFill="1" applyBorder="1" applyAlignment="1">
      <alignment horizontal="right"/>
    </xf>
    <xf numFmtId="164" fontId="3" fillId="2" borderId="14" xfId="0" applyNumberFormat="1" applyFont="1" applyFill="1" applyBorder="1" applyAlignment="1">
      <alignment horizontal="right"/>
    </xf>
    <xf numFmtId="1" fontId="3" fillId="0" borderId="9" xfId="0" applyNumberFormat="1" applyFont="1" applyBorder="1" applyAlignment="1">
      <alignment horizontal="center"/>
    </xf>
    <xf numFmtId="164" fontId="3" fillId="2" borderId="15" xfId="0" applyNumberFormat="1" applyFont="1" applyFill="1" applyBorder="1" applyAlignment="1">
      <alignment horizontal="right"/>
    </xf>
    <xf numFmtId="164" fontId="3" fillId="0" borderId="6" xfId="0" applyNumberFormat="1" applyFont="1" applyBorder="1" applyAlignment="1">
      <alignment horizontal="center"/>
    </xf>
    <xf numFmtId="0" fontId="3" fillId="3" borderId="14" xfId="0" applyFont="1" applyFill="1" applyBorder="1"/>
    <xf numFmtId="164" fontId="3" fillId="3" borderId="0" xfId="0" applyNumberFormat="1" applyFont="1" applyFill="1" applyAlignment="1">
      <alignment horizontal="right"/>
    </xf>
    <xf numFmtId="164" fontId="3" fillId="3" borderId="15" xfId="0" applyNumberFormat="1" applyFont="1" applyFill="1" applyBorder="1" applyAlignment="1">
      <alignment horizontal="right"/>
    </xf>
    <xf numFmtId="164" fontId="3" fillId="3" borderId="14" xfId="0" applyNumberFormat="1" applyFont="1" applyFill="1" applyBorder="1" applyAlignment="1">
      <alignment horizontal="right"/>
    </xf>
    <xf numFmtId="165" fontId="3" fillId="3" borderId="14" xfId="0" applyNumberFormat="1" applyFont="1" applyFill="1" applyBorder="1" applyAlignment="1">
      <alignment horizontal="right"/>
    </xf>
    <xf numFmtId="164" fontId="3" fillId="0" borderId="16" xfId="0" applyNumberFormat="1" applyFont="1" applyBorder="1" applyAlignment="1">
      <alignment horizontal="center"/>
    </xf>
    <xf numFmtId="165" fontId="3" fillId="0" borderId="11" xfId="0" applyNumberFormat="1" applyFont="1" applyBorder="1" applyAlignment="1">
      <alignment horizontal="center"/>
    </xf>
    <xf numFmtId="0" fontId="3" fillId="3" borderId="8" xfId="0" applyFont="1" applyFill="1" applyBorder="1"/>
    <xf numFmtId="164" fontId="3" fillId="3" borderId="8" xfId="0" applyNumberFormat="1" applyFont="1" applyFill="1" applyBorder="1" applyAlignment="1">
      <alignment horizontal="right"/>
    </xf>
    <xf numFmtId="0" fontId="3" fillId="0" borderId="10" xfId="0" applyFont="1" applyBorder="1" applyAlignment="1">
      <alignment horizontal="center"/>
    </xf>
    <xf numFmtId="1" fontId="3" fillId="0" borderId="14" xfId="0" applyNumberFormat="1" applyFont="1" applyBorder="1" applyAlignment="1">
      <alignment horizontal="center"/>
    </xf>
    <xf numFmtId="164" fontId="3" fillId="0" borderId="14" xfId="0" applyNumberFormat="1" applyFont="1" applyBorder="1" applyAlignment="1">
      <alignment horizontal="center"/>
    </xf>
    <xf numFmtId="164" fontId="3" fillId="0" borderId="17" xfId="0" applyNumberFormat="1" applyFont="1" applyBorder="1" applyAlignment="1">
      <alignment horizontal="center"/>
    </xf>
    <xf numFmtId="1" fontId="3" fillId="0" borderId="8" xfId="0" applyNumberFormat="1" applyFont="1" applyBorder="1" applyAlignment="1">
      <alignment horizontal="center"/>
    </xf>
    <xf numFmtId="164" fontId="3" fillId="0" borderId="18" xfId="0" applyNumberFormat="1" applyFont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3" fillId="0" borderId="0" xfId="0" applyFont="1"/>
    <xf numFmtId="0" fontId="3" fillId="0" borderId="7" xfId="0" applyFont="1" applyBorder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0" fontId="3" fillId="0" borderId="13" xfId="0" applyFont="1" applyBorder="1"/>
    <xf numFmtId="166" fontId="3" fillId="0" borderId="7" xfId="0" applyNumberFormat="1" applyFont="1" applyBorder="1" applyAlignment="1">
      <alignment horizontal="right"/>
    </xf>
    <xf numFmtId="2" fontId="3" fillId="0" borderId="19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65" fontId="3" fillId="0" borderId="7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14" xfId="0" applyFont="1" applyBorder="1" applyAlignment="1">
      <alignment horizontal="right"/>
    </xf>
    <xf numFmtId="0" fontId="3" fillId="0" borderId="11" xfId="0" applyFont="1" applyBorder="1" applyAlignment="1">
      <alignment horizontal="center"/>
    </xf>
    <xf numFmtId="165" fontId="3" fillId="0" borderId="15" xfId="0" applyNumberFormat="1" applyFont="1" applyBorder="1" applyAlignment="1">
      <alignment horizontal="center"/>
    </xf>
    <xf numFmtId="167" fontId="3" fillId="0" borderId="14" xfId="0" applyNumberFormat="1" applyFont="1" applyBorder="1" applyAlignment="1">
      <alignment horizontal="right"/>
    </xf>
    <xf numFmtId="2" fontId="3" fillId="0" borderId="17" xfId="0" applyNumberFormat="1" applyFont="1" applyBorder="1" applyAlignment="1">
      <alignment horizontal="right"/>
    </xf>
    <xf numFmtId="164" fontId="3" fillId="0" borderId="14" xfId="0" applyNumberFormat="1" applyFont="1" applyBorder="1" applyAlignment="1">
      <alignment horizontal="right"/>
    </xf>
    <xf numFmtId="165" fontId="3" fillId="0" borderId="14" xfId="0" applyNumberFormat="1" applyFont="1" applyBorder="1" applyAlignment="1">
      <alignment horizontal="right"/>
    </xf>
    <xf numFmtId="0" fontId="3" fillId="0" borderId="14" xfId="0" applyFont="1" applyBorder="1"/>
    <xf numFmtId="2" fontId="3" fillId="0" borderId="11" xfId="0" applyNumberFormat="1" applyFont="1" applyBorder="1" applyAlignment="1">
      <alignment horizontal="center"/>
    </xf>
    <xf numFmtId="0" fontId="3" fillId="0" borderId="17" xfId="0" applyFont="1" applyBorder="1" applyAlignment="1">
      <alignment horizontal="right"/>
    </xf>
    <xf numFmtId="167" fontId="3" fillId="0" borderId="8" xfId="0" applyNumberFormat="1" applyFont="1" applyBorder="1" applyAlignment="1">
      <alignment horizontal="right"/>
    </xf>
    <xf numFmtId="0" fontId="3" fillId="0" borderId="18" xfId="0" applyFont="1" applyBorder="1" applyAlignment="1">
      <alignment horizontal="right"/>
    </xf>
    <xf numFmtId="164" fontId="3" fillId="0" borderId="8" xfId="0" applyNumberFormat="1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5" fontId="3" fillId="0" borderId="8" xfId="0" applyNumberFormat="1" applyFont="1" applyBorder="1" applyAlignment="1">
      <alignment horizontal="right"/>
    </xf>
    <xf numFmtId="0" fontId="3" fillId="0" borderId="8" xfId="0" applyFont="1" applyBorder="1"/>
    <xf numFmtId="1" fontId="3" fillId="0" borderId="13" xfId="0" applyNumberFormat="1" applyFont="1" applyBorder="1" applyAlignment="1">
      <alignment horizontal="center"/>
    </xf>
    <xf numFmtId="0" fontId="4" fillId="0" borderId="21" xfId="0" applyFont="1" applyBorder="1"/>
    <xf numFmtId="164" fontId="3" fillId="0" borderId="9" xfId="0" applyNumberFormat="1" applyFont="1" applyBorder="1" applyAlignment="1">
      <alignment horizontal="center"/>
    </xf>
    <xf numFmtId="1" fontId="3" fillId="0" borderId="18" xfId="0" applyNumberFormat="1" applyFont="1" applyBorder="1" applyAlignment="1">
      <alignment horizontal="center"/>
    </xf>
    <xf numFmtId="0" fontId="4" fillId="0" borderId="25" xfId="0" applyFont="1" applyBorder="1"/>
    <xf numFmtId="0" fontId="4" fillId="0" borderId="28" xfId="0" applyFont="1" applyBorder="1"/>
    <xf numFmtId="0" fontId="4" fillId="0" borderId="0" xfId="0" applyFont="1" applyAlignment="1">
      <alignment horizontal="center"/>
    </xf>
    <xf numFmtId="2" fontId="3" fillId="0" borderId="10" xfId="0" applyNumberFormat="1" applyFont="1" applyBorder="1" applyAlignment="1">
      <alignment horizontal="center"/>
    </xf>
    <xf numFmtId="168" fontId="3" fillId="0" borderId="6" xfId="0" applyNumberFormat="1" applyFont="1" applyBorder="1" applyAlignment="1">
      <alignment horizontal="center"/>
    </xf>
    <xf numFmtId="167" fontId="3" fillId="0" borderId="6" xfId="0" applyNumberFormat="1" applyFont="1" applyBorder="1" applyAlignment="1">
      <alignment horizontal="center"/>
    </xf>
    <xf numFmtId="166" fontId="3" fillId="0" borderId="6" xfId="0" applyNumberFormat="1" applyFont="1" applyBorder="1" applyAlignment="1">
      <alignment horizontal="center"/>
    </xf>
    <xf numFmtId="164" fontId="3" fillId="0" borderId="29" xfId="0" applyNumberFormat="1" applyFont="1" applyBorder="1" applyAlignment="1">
      <alignment horizontal="center"/>
    </xf>
    <xf numFmtId="164" fontId="3" fillId="0" borderId="22" xfId="0" applyNumberFormat="1" applyFont="1" applyBorder="1" applyAlignment="1">
      <alignment horizontal="center"/>
    </xf>
    <xf numFmtId="164" fontId="3" fillId="0" borderId="23" xfId="0" applyNumberFormat="1" applyFont="1" applyBorder="1" applyAlignment="1">
      <alignment horizontal="center"/>
    </xf>
    <xf numFmtId="0" fontId="4" fillId="3" borderId="24" xfId="0" applyFont="1" applyFill="1" applyBorder="1"/>
    <xf numFmtId="0" fontId="4" fillId="3" borderId="16" xfId="0" applyFont="1" applyFill="1" applyBorder="1"/>
    <xf numFmtId="0" fontId="4" fillId="3" borderId="25" xfId="0" applyFont="1" applyFill="1" applyBorder="1"/>
    <xf numFmtId="164" fontId="4" fillId="3" borderId="16" xfId="0" applyNumberFormat="1" applyFont="1" applyFill="1" applyBorder="1"/>
    <xf numFmtId="168" fontId="4" fillId="3" borderId="16" xfId="0" applyNumberFormat="1" applyFont="1" applyFill="1" applyBorder="1"/>
    <xf numFmtId="166" fontId="4" fillId="3" borderId="16" xfId="0" applyNumberFormat="1" applyFont="1" applyFill="1" applyBorder="1"/>
    <xf numFmtId="0" fontId="4" fillId="2" borderId="24" xfId="0" applyFont="1" applyFill="1" applyBorder="1"/>
    <xf numFmtId="0" fontId="4" fillId="2" borderId="16" xfId="0" applyFont="1" applyFill="1" applyBorder="1"/>
    <xf numFmtId="0" fontId="4" fillId="2" borderId="25" xfId="0" applyFont="1" applyFill="1" applyBorder="1"/>
    <xf numFmtId="164" fontId="4" fillId="2" borderId="16" xfId="0" applyNumberFormat="1" applyFont="1" applyFill="1" applyBorder="1"/>
    <xf numFmtId="168" fontId="4" fillId="2" borderId="16" xfId="0" applyNumberFormat="1" applyFont="1" applyFill="1" applyBorder="1"/>
    <xf numFmtId="166" fontId="4" fillId="2" borderId="16" xfId="0" applyNumberFormat="1" applyFont="1" applyFill="1" applyBorder="1"/>
    <xf numFmtId="0" fontId="4" fillId="2" borderId="26" xfId="0" applyFont="1" applyFill="1" applyBorder="1"/>
    <xf numFmtId="0" fontId="4" fillId="2" borderId="27" xfId="0" applyFont="1" applyFill="1" applyBorder="1"/>
    <xf numFmtId="0" fontId="4" fillId="2" borderId="28" xfId="0" applyFont="1" applyFill="1" applyBorder="1"/>
    <xf numFmtId="0" fontId="4" fillId="0" borderId="30" xfId="0" applyFont="1" applyBorder="1"/>
    <xf numFmtId="0" fontId="4" fillId="0" borderId="2" xfId="0" applyFont="1" applyBorder="1"/>
    <xf numFmtId="0" fontId="4" fillId="0" borderId="3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8" xfId="0" applyFont="1" applyBorder="1"/>
    <xf numFmtId="0" fontId="4" fillId="0" borderId="13" xfId="0" applyFont="1" applyBorder="1"/>
    <xf numFmtId="0" fontId="4" fillId="0" borderId="10" xfId="0" applyFont="1" applyBorder="1"/>
    <xf numFmtId="0" fontId="4" fillId="0" borderId="11" xfId="0" applyFont="1" applyBorder="1"/>
    <xf numFmtId="0" fontId="4" fillId="0" borderId="18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164" fontId="4" fillId="0" borderId="11" xfId="0" applyNumberFormat="1" applyFont="1" applyBorder="1" applyAlignment="1">
      <alignment horizontal="left"/>
    </xf>
    <xf numFmtId="168" fontId="4" fillId="0" borderId="11" xfId="0" applyNumberFormat="1" applyFont="1" applyBorder="1" applyAlignment="1">
      <alignment horizontal="left"/>
    </xf>
    <xf numFmtId="0" fontId="4" fillId="0" borderId="31" xfId="0" applyFont="1" applyBorder="1"/>
    <xf numFmtId="0" fontId="4" fillId="0" borderId="32" xfId="0" applyFont="1" applyBorder="1"/>
    <xf numFmtId="0" fontId="4" fillId="0" borderId="33" xfId="0" applyFont="1" applyBorder="1"/>
    <xf numFmtId="0" fontId="4" fillId="0" borderId="7" xfId="0" applyFont="1" applyBorder="1"/>
    <xf numFmtId="166" fontId="4" fillId="0" borderId="7" xfId="0" applyNumberFormat="1" applyFont="1" applyBorder="1"/>
    <xf numFmtId="164" fontId="4" fillId="0" borderId="7" xfId="0" applyNumberFormat="1" applyFont="1" applyBorder="1"/>
    <xf numFmtId="168" fontId="4" fillId="0" borderId="7" xfId="0" applyNumberFormat="1" applyFont="1" applyBorder="1"/>
    <xf numFmtId="0" fontId="4" fillId="0" borderId="14" xfId="0" applyFont="1" applyBorder="1"/>
    <xf numFmtId="1" fontId="4" fillId="0" borderId="14" xfId="0" applyNumberFormat="1" applyFont="1" applyBorder="1"/>
    <xf numFmtId="164" fontId="4" fillId="0" borderId="14" xfId="0" applyNumberFormat="1" applyFont="1" applyBorder="1"/>
    <xf numFmtId="165" fontId="4" fillId="0" borderId="14" xfId="0" applyNumberFormat="1" applyFont="1" applyBorder="1"/>
    <xf numFmtId="166" fontId="4" fillId="0" borderId="14" xfId="0" applyNumberFormat="1" applyFont="1" applyBorder="1"/>
    <xf numFmtId="168" fontId="4" fillId="0" borderId="14" xfId="0" applyNumberFormat="1" applyFont="1" applyBorder="1"/>
    <xf numFmtId="167" fontId="4" fillId="0" borderId="14" xfId="0" applyNumberFormat="1" applyFont="1" applyBorder="1"/>
    <xf numFmtId="1" fontId="4" fillId="0" borderId="8" xfId="0" applyNumberFormat="1" applyFont="1" applyBorder="1"/>
    <xf numFmtId="164" fontId="4" fillId="0" borderId="8" xfId="0" applyNumberFormat="1" applyFont="1" applyBorder="1"/>
    <xf numFmtId="165" fontId="4" fillId="0" borderId="8" xfId="0" applyNumberFormat="1" applyFont="1" applyBorder="1"/>
    <xf numFmtId="164" fontId="4" fillId="0" borderId="0" xfId="0" applyNumberFormat="1" applyFont="1"/>
    <xf numFmtId="1" fontId="4" fillId="0" borderId="0" xfId="0" applyNumberFormat="1" applyFont="1"/>
    <xf numFmtId="165" fontId="4" fillId="0" borderId="0" xfId="0" applyNumberFormat="1" applyFont="1"/>
    <xf numFmtId="2" fontId="4" fillId="0" borderId="14" xfId="0" applyNumberFormat="1" applyFont="1" applyBorder="1"/>
    <xf numFmtId="166" fontId="4" fillId="0" borderId="8" xfId="0" applyNumberFormat="1" applyFont="1" applyBorder="1"/>
    <xf numFmtId="168" fontId="4" fillId="0" borderId="8" xfId="0" applyNumberFormat="1" applyFont="1" applyBorder="1"/>
    <xf numFmtId="166" fontId="4" fillId="0" borderId="0" xfId="0" applyNumberFormat="1" applyFont="1"/>
    <xf numFmtId="166" fontId="4" fillId="0" borderId="11" xfId="0" applyNumberFormat="1" applyFont="1" applyBorder="1" applyAlignment="1">
      <alignment horizontal="left"/>
    </xf>
    <xf numFmtId="0" fontId="2" fillId="0" borderId="16" xfId="0" applyFont="1" applyBorder="1"/>
    <xf numFmtId="0" fontId="2" fillId="0" borderId="11" xfId="0" applyFont="1" applyBorder="1"/>
    <xf numFmtId="164" fontId="3" fillId="0" borderId="10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2" fillId="0" borderId="5" xfId="0" applyFont="1" applyBorder="1"/>
    <xf numFmtId="0" fontId="2" fillId="0" borderId="16" xfId="0" applyFont="1" applyBorder="1"/>
    <xf numFmtId="0" fontId="2" fillId="0" borderId="11" xfId="0" applyFont="1" applyBorder="1"/>
    <xf numFmtId="0" fontId="3" fillId="0" borderId="10" xfId="0" applyFont="1" applyBorder="1" applyAlignment="1">
      <alignment horizontal="center"/>
    </xf>
    <xf numFmtId="0" fontId="2" fillId="0" borderId="20" xfId="0" applyFont="1" applyBorder="1"/>
    <xf numFmtId="0" fontId="4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4" fillId="0" borderId="24" xfId="0" applyFont="1" applyBorder="1"/>
    <xf numFmtId="0" fontId="4" fillId="0" borderId="26" xfId="0" applyFont="1" applyBorder="1"/>
    <xf numFmtId="0" fontId="2" fillId="0" borderId="27" xfId="0" applyFont="1" applyBorder="1"/>
    <xf numFmtId="0" fontId="4" fillId="0" borderId="10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2" fillId="0" borderId="2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326572</xdr:colOff>
      <xdr:row>5</xdr:row>
      <xdr:rowOff>7972</xdr:rowOff>
    </xdr:from>
    <xdr:to>
      <xdr:col>16</xdr:col>
      <xdr:colOff>258536</xdr:colOff>
      <xdr:row>28</xdr:row>
      <xdr:rowOff>123416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5936FC3-2A29-DBE4-D7FB-4EE012C01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12679" y="824401"/>
          <a:ext cx="4993821" cy="39934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2"/>
  <sheetViews>
    <sheetView tabSelected="1" zoomScale="70" zoomScaleNormal="70" workbookViewId="0">
      <selection activeCell="L8" sqref="L8"/>
    </sheetView>
  </sheetViews>
  <sheetFormatPr baseColWidth="10" defaultColWidth="12.5703125" defaultRowHeight="12.75" x14ac:dyDescent="0.2"/>
  <cols>
    <col min="3" max="3" width="14.85546875" customWidth="1"/>
  </cols>
  <sheetData>
    <row r="1" spans="1:20" x14ac:dyDescent="0.2">
      <c r="A1" s="143" t="s">
        <v>0</v>
      </c>
      <c r="B1" s="144"/>
      <c r="C1" s="144"/>
      <c r="D1" s="145"/>
      <c r="E1" s="1"/>
      <c r="F1" s="1"/>
    </row>
    <row r="2" spans="1:20" x14ac:dyDescent="0.2">
      <c r="A2" s="146" t="s">
        <v>1</v>
      </c>
      <c r="B2" s="145"/>
      <c r="C2" s="147" t="s">
        <v>2</v>
      </c>
      <c r="D2" s="148"/>
      <c r="F2" s="2"/>
      <c r="G2" s="3" t="s">
        <v>58</v>
      </c>
      <c r="H2" s="3" t="s">
        <v>86</v>
      </c>
      <c r="I2" s="3" t="s">
        <v>59</v>
      </c>
      <c r="J2" s="3" t="s">
        <v>119</v>
      </c>
    </row>
    <row r="3" spans="1:20" x14ac:dyDescent="0.2">
      <c r="A3" s="4" t="s">
        <v>3</v>
      </c>
      <c r="B3" s="5">
        <v>700</v>
      </c>
      <c r="C3" s="6" t="s">
        <v>4</v>
      </c>
      <c r="D3" s="7">
        <v>420</v>
      </c>
      <c r="F3" s="8" t="s">
        <v>5</v>
      </c>
      <c r="G3" s="9">
        <f>$H$26</f>
        <v>13560.838918408621</v>
      </c>
      <c r="H3" s="10">
        <f>$H$28</f>
        <v>0</v>
      </c>
      <c r="I3" s="10">
        <f>$H$27</f>
        <v>8814.5452969656035</v>
      </c>
      <c r="J3" s="11">
        <f>$H$29</f>
        <v>0</v>
      </c>
      <c r="S3" s="12"/>
    </row>
    <row r="4" spans="1:20" x14ac:dyDescent="0.2">
      <c r="A4" s="13" t="s">
        <v>6</v>
      </c>
      <c r="B4" s="14">
        <v>700</v>
      </c>
      <c r="C4" s="6" t="s">
        <v>7</v>
      </c>
      <c r="D4" s="7">
        <v>210</v>
      </c>
      <c r="F4" s="15" t="s">
        <v>8</v>
      </c>
      <c r="G4" s="16">
        <f>$B$41</f>
        <v>13213.739739917486</v>
      </c>
      <c r="H4" s="17">
        <f>$B$42</f>
        <v>1047.8086048031139</v>
      </c>
      <c r="I4" s="17">
        <f>$B$43</f>
        <v>8588.9308309463668</v>
      </c>
      <c r="J4" s="18">
        <f>$B$44</f>
        <v>681.07559312202409</v>
      </c>
      <c r="S4" s="12"/>
      <c r="T4" s="12"/>
    </row>
    <row r="5" spans="1:20" x14ac:dyDescent="0.2">
      <c r="A5" s="3" t="s">
        <v>9</v>
      </c>
      <c r="B5" s="19">
        <v>50</v>
      </c>
      <c r="C5" s="6" t="s">
        <v>10</v>
      </c>
      <c r="D5" s="20">
        <f>(D3)/(D4*1000)</f>
        <v>2E-3</v>
      </c>
      <c r="F5" s="15" t="s">
        <v>11</v>
      </c>
      <c r="G5" s="16">
        <f>$B$54</f>
        <v>6367.5633003055591</v>
      </c>
      <c r="H5" s="17">
        <f>$B$55</f>
        <v>1741.5809978872121</v>
      </c>
      <c r="I5" s="17">
        <f>$B$56</f>
        <v>4138.9161451986138</v>
      </c>
      <c r="J5" s="18">
        <f>$B$57</f>
        <v>1132.027648626688</v>
      </c>
      <c r="R5" s="12"/>
      <c r="S5" s="12"/>
      <c r="T5" s="12"/>
    </row>
    <row r="6" spans="1:20" x14ac:dyDescent="0.2">
      <c r="A6" s="146" t="s">
        <v>12</v>
      </c>
      <c r="B6" s="145"/>
      <c r="C6" s="6" t="s">
        <v>13</v>
      </c>
      <c r="D6" s="7">
        <v>5</v>
      </c>
      <c r="F6" s="15" t="s">
        <v>14</v>
      </c>
      <c r="G6" s="21">
        <f>$B$67</f>
        <v>5690.4186701297858</v>
      </c>
      <c r="H6" s="22">
        <f>$B$68</f>
        <v>1680.0619328885255</v>
      </c>
      <c r="I6" s="23">
        <f>$B$69</f>
        <v>4172.9736914285104</v>
      </c>
      <c r="J6" s="24">
        <f>$B$70</f>
        <v>1232.0454174515855</v>
      </c>
      <c r="R6" s="12"/>
      <c r="S6" s="12"/>
      <c r="T6" s="12"/>
    </row>
    <row r="7" spans="1:20" x14ac:dyDescent="0.2">
      <c r="A7" s="4" t="s">
        <v>15</v>
      </c>
      <c r="B7" s="25">
        <v>35</v>
      </c>
      <c r="C7" s="6" t="s">
        <v>16</v>
      </c>
      <c r="D7" s="7">
        <v>2</v>
      </c>
      <c r="F7" s="15" t="s">
        <v>17</v>
      </c>
      <c r="G7" s="21">
        <f>$B$80</f>
        <v>3411.9879457856782</v>
      </c>
      <c r="H7" s="22">
        <f>$B$81</f>
        <v>1495.7393326712056</v>
      </c>
      <c r="I7" s="23">
        <f>$B$82</f>
        <v>3070.7891512071105</v>
      </c>
      <c r="J7" s="24">
        <f>$B$83</f>
        <v>1346.1653994040851</v>
      </c>
      <c r="R7" s="12"/>
      <c r="S7" s="12"/>
      <c r="T7" s="12"/>
    </row>
    <row r="8" spans="1:20" x14ac:dyDescent="0.2">
      <c r="A8" s="13" t="s">
        <v>18</v>
      </c>
      <c r="B8" s="6">
        <f>(4700*(SQRT(B7)))/1000</f>
        <v>27.805574980568196</v>
      </c>
      <c r="C8" s="6" t="s">
        <v>19</v>
      </c>
      <c r="D8" s="7">
        <v>2</v>
      </c>
      <c r="F8" s="15" t="s">
        <v>20</v>
      </c>
      <c r="G8" s="21">
        <f>$B$93</f>
        <v>0</v>
      </c>
      <c r="H8" s="23">
        <f>$B$94</f>
        <v>763.08233594444641</v>
      </c>
      <c r="I8" s="23">
        <f>$B$95</f>
        <v>0</v>
      </c>
      <c r="J8" s="24">
        <f>$B$96</f>
        <v>686.77410235000184</v>
      </c>
      <c r="R8" s="12"/>
      <c r="S8" s="12"/>
      <c r="T8" s="12"/>
    </row>
    <row r="9" spans="1:20" x14ac:dyDescent="0.2">
      <c r="A9" s="13" t="s">
        <v>21</v>
      </c>
      <c r="B9" s="6">
        <f>IF(B7&lt;=28,0.85,IF(B7&lt;55,0.85-0.05*(B7-28)/7,0.65))</f>
        <v>0.79999999999999993</v>
      </c>
      <c r="C9" s="6" t="s">
        <v>22</v>
      </c>
      <c r="D9" s="7">
        <v>2</v>
      </c>
      <c r="F9" s="15" t="s">
        <v>23</v>
      </c>
      <c r="G9" s="21">
        <f>$H$99</f>
        <v>-2554.4918184869325</v>
      </c>
      <c r="H9" s="22">
        <f>$H$101</f>
        <v>0</v>
      </c>
      <c r="I9" s="26">
        <f>$H$100</f>
        <v>-2299.0426366382394</v>
      </c>
      <c r="J9" s="24">
        <f>$H$102</f>
        <v>0</v>
      </c>
      <c r="R9" s="12"/>
      <c r="S9" s="12"/>
      <c r="T9" s="12"/>
    </row>
    <row r="10" spans="1:20" x14ac:dyDescent="0.2">
      <c r="A10" s="3" t="s">
        <v>24</v>
      </c>
      <c r="B10" s="27">
        <v>3.0000000000000001E-3</v>
      </c>
      <c r="C10" s="6" t="s">
        <v>120</v>
      </c>
      <c r="D10" s="7">
        <v>5</v>
      </c>
      <c r="F10" s="28" t="s">
        <v>25</v>
      </c>
      <c r="G10" s="29">
        <f t="shared" ref="G10:G16" si="0">G3</f>
        <v>13560.838918408621</v>
      </c>
      <c r="H10" s="30">
        <f t="shared" ref="H10:H16" si="1">-H3</f>
        <v>0</v>
      </c>
      <c r="I10" s="30">
        <f t="shared" ref="I10:I16" si="2">I3</f>
        <v>8814.5452969656035</v>
      </c>
      <c r="J10" s="31">
        <f t="shared" ref="J10:J16" si="3">-J3</f>
        <v>0</v>
      </c>
    </row>
    <row r="11" spans="1:20" x14ac:dyDescent="0.2">
      <c r="A11" s="147" t="s">
        <v>26</v>
      </c>
      <c r="B11" s="148"/>
      <c r="C11" s="6" t="s">
        <v>27</v>
      </c>
      <c r="D11" s="7">
        <v>22</v>
      </c>
      <c r="F11" s="28" t="s">
        <v>28</v>
      </c>
      <c r="G11" s="29">
        <f t="shared" si="0"/>
        <v>13213.739739917486</v>
      </c>
      <c r="H11" s="30">
        <f t="shared" si="1"/>
        <v>-1047.8086048031139</v>
      </c>
      <c r="I11" s="30">
        <f t="shared" si="2"/>
        <v>8588.9308309463668</v>
      </c>
      <c r="J11" s="32">
        <f t="shared" si="3"/>
        <v>-681.07559312202409</v>
      </c>
    </row>
    <row r="12" spans="1:20" x14ac:dyDescent="0.2">
      <c r="A12" s="6" t="s">
        <v>29</v>
      </c>
      <c r="B12" s="33">
        <f>B4*B3</f>
        <v>490000</v>
      </c>
      <c r="C12" s="6" t="s">
        <v>30</v>
      </c>
      <c r="D12" s="7">
        <v>22</v>
      </c>
      <c r="F12" s="28" t="s">
        <v>31</v>
      </c>
      <c r="G12" s="29">
        <f t="shared" si="0"/>
        <v>6367.5633003055591</v>
      </c>
      <c r="H12" s="30">
        <f t="shared" si="1"/>
        <v>-1741.5809978872121</v>
      </c>
      <c r="I12" s="30">
        <f t="shared" si="2"/>
        <v>4138.9161451986138</v>
      </c>
      <c r="J12" s="32">
        <f t="shared" si="3"/>
        <v>-1132.027648626688</v>
      </c>
    </row>
    <row r="13" spans="1:20" x14ac:dyDescent="0.2">
      <c r="A13" s="6" t="s">
        <v>32</v>
      </c>
      <c r="B13" s="33">
        <f>(PI()/4)*(D11^2)*D6</f>
        <v>1900.6635554218249</v>
      </c>
      <c r="C13" s="6" t="s">
        <v>33</v>
      </c>
      <c r="D13" s="7">
        <v>22</v>
      </c>
      <c r="F13" s="28" t="s">
        <v>34</v>
      </c>
      <c r="G13" s="29">
        <f t="shared" si="0"/>
        <v>5690.4186701297858</v>
      </c>
      <c r="H13" s="30">
        <f t="shared" si="1"/>
        <v>-1680.0619328885255</v>
      </c>
      <c r="I13" s="30">
        <f t="shared" si="2"/>
        <v>4172.9736914285104</v>
      </c>
      <c r="J13" s="31">
        <f t="shared" si="3"/>
        <v>-1232.0454174515855</v>
      </c>
    </row>
    <row r="14" spans="1:20" x14ac:dyDescent="0.2">
      <c r="A14" s="6" t="s">
        <v>35</v>
      </c>
      <c r="B14" s="33">
        <f>(PI()/4)*(D12^2)*D7</f>
        <v>760.26542216872997</v>
      </c>
      <c r="C14" s="6" t="s">
        <v>36</v>
      </c>
      <c r="D14" s="7">
        <v>22</v>
      </c>
      <c r="F14" s="28" t="s">
        <v>37</v>
      </c>
      <c r="G14" s="29">
        <f t="shared" si="0"/>
        <v>3411.9879457856782</v>
      </c>
      <c r="H14" s="30">
        <f t="shared" si="1"/>
        <v>-1495.7393326712056</v>
      </c>
      <c r="I14" s="30">
        <f t="shared" si="2"/>
        <v>3070.7891512071105</v>
      </c>
      <c r="J14" s="31">
        <f t="shared" si="3"/>
        <v>-1346.1653994040851</v>
      </c>
    </row>
    <row r="15" spans="1:20" x14ac:dyDescent="0.2">
      <c r="A15" s="6" t="s">
        <v>38</v>
      </c>
      <c r="B15" s="33">
        <f>(PI()/4)*(D13^2)*D8</f>
        <v>760.26542216872997</v>
      </c>
      <c r="C15" s="6" t="s">
        <v>39</v>
      </c>
      <c r="D15" s="7">
        <v>22</v>
      </c>
      <c r="F15" s="28" t="s">
        <v>40</v>
      </c>
      <c r="G15" s="29">
        <f t="shared" si="0"/>
        <v>0</v>
      </c>
      <c r="H15" s="30">
        <f t="shared" si="1"/>
        <v>-763.08233594444641</v>
      </c>
      <c r="I15" s="30">
        <f t="shared" si="2"/>
        <v>0</v>
      </c>
      <c r="J15" s="31">
        <f t="shared" si="3"/>
        <v>-686.77410235000184</v>
      </c>
    </row>
    <row r="16" spans="1:20" x14ac:dyDescent="0.2">
      <c r="A16" s="6" t="s">
        <v>41</v>
      </c>
      <c r="B16" s="33">
        <f>(PI()/4)*(D14^2)*D9</f>
        <v>760.26542216872997</v>
      </c>
      <c r="C16" s="6" t="s">
        <v>42</v>
      </c>
      <c r="D16" s="34">
        <v>73</v>
      </c>
      <c r="F16" s="35" t="s">
        <v>43</v>
      </c>
      <c r="G16" s="29">
        <f t="shared" si="0"/>
        <v>-2554.4918184869325</v>
      </c>
      <c r="H16" s="30">
        <f t="shared" si="1"/>
        <v>0</v>
      </c>
      <c r="I16" s="30">
        <f t="shared" si="2"/>
        <v>-2299.0426366382394</v>
      </c>
      <c r="J16" s="36">
        <f t="shared" si="3"/>
        <v>0</v>
      </c>
    </row>
    <row r="17" spans="1:8" x14ac:dyDescent="0.2">
      <c r="A17" s="6" t="s">
        <v>44</v>
      </c>
      <c r="B17" s="33">
        <f>(PI()/4)*(D15^2)*D10</f>
        <v>1900.6635554218249</v>
      </c>
      <c r="C17" s="6" t="s">
        <v>45</v>
      </c>
      <c r="D17" s="34">
        <v>211.5</v>
      </c>
    </row>
    <row r="18" spans="1:8" ht="15.75" customHeight="1" x14ac:dyDescent="0.2">
      <c r="A18" s="6" t="s">
        <v>46</v>
      </c>
      <c r="B18" s="33">
        <f>B13+B14+B15+B16+B17</f>
        <v>6082.1233773498398</v>
      </c>
      <c r="C18" s="6" t="s">
        <v>47</v>
      </c>
      <c r="D18" s="34">
        <v>350</v>
      </c>
    </row>
    <row r="19" spans="1:8" ht="15.75" customHeight="1" x14ac:dyDescent="0.2">
      <c r="C19" s="6" t="s">
        <v>48</v>
      </c>
      <c r="D19" s="34">
        <v>488.5</v>
      </c>
    </row>
    <row r="20" spans="1:8" x14ac:dyDescent="0.2">
      <c r="C20" s="6" t="s">
        <v>49</v>
      </c>
      <c r="D20" s="34">
        <v>627</v>
      </c>
    </row>
    <row r="24" spans="1:8" x14ac:dyDescent="0.2">
      <c r="A24" s="140" t="s">
        <v>50</v>
      </c>
      <c r="B24" s="149"/>
      <c r="C24" s="149"/>
      <c r="D24" s="149"/>
      <c r="E24" s="150"/>
      <c r="G24" s="151" t="s">
        <v>51</v>
      </c>
      <c r="H24" s="150"/>
    </row>
    <row r="25" spans="1:8" x14ac:dyDescent="0.2">
      <c r="A25" s="13" t="s">
        <v>52</v>
      </c>
      <c r="B25" s="13" t="s">
        <v>53</v>
      </c>
      <c r="C25" s="13" t="s">
        <v>54</v>
      </c>
      <c r="D25" s="13" t="s">
        <v>55</v>
      </c>
      <c r="E25" s="20" t="s">
        <v>56</v>
      </c>
      <c r="G25" s="13" t="s">
        <v>57</v>
      </c>
      <c r="H25" s="13">
        <f>((0.85*$B$7*($B$12-$B$18))+($D$3*$B$18))/1000</f>
        <v>16951.048648010776</v>
      </c>
    </row>
    <row r="26" spans="1:8" ht="15.75" customHeight="1" x14ac:dyDescent="0.2">
      <c r="A26" s="38">
        <v>1</v>
      </c>
      <c r="B26" s="39">
        <f>$B$13</f>
        <v>1900.6635554218249</v>
      </c>
      <c r="C26" s="38">
        <f>$D$3</f>
        <v>420</v>
      </c>
      <c r="D26" s="39">
        <f>B26*C26/1000</f>
        <v>798.27869327716644</v>
      </c>
      <c r="E26" s="40" t="str">
        <f t="shared" ref="E26:E29" si="4">IF(C26&gt;=0,"Compresion","Traccion")</f>
        <v>Compresion</v>
      </c>
      <c r="G26" s="13" t="s">
        <v>58</v>
      </c>
      <c r="H26" s="13">
        <f>0.8*H25</f>
        <v>13560.838918408621</v>
      </c>
    </row>
    <row r="27" spans="1:8" x14ac:dyDescent="0.2">
      <c r="A27" s="38">
        <v>2</v>
      </c>
      <c r="B27" s="39">
        <f>$B$14</f>
        <v>760.26542216872997</v>
      </c>
      <c r="C27" s="38">
        <f>$D$3</f>
        <v>420</v>
      </c>
      <c r="D27" s="39">
        <f t="shared" ref="D27:D29" si="5">B27*C27/1000</f>
        <v>319.31147731086656</v>
      </c>
      <c r="E27" s="40" t="str">
        <f t="shared" si="4"/>
        <v>Compresion</v>
      </c>
      <c r="G27" s="13" t="s">
        <v>59</v>
      </c>
      <c r="H27" s="13">
        <f>0.65*H26</f>
        <v>8814.5452969656035</v>
      </c>
    </row>
    <row r="28" spans="1:8" x14ac:dyDescent="0.2">
      <c r="A28" s="38">
        <v>3</v>
      </c>
      <c r="B28" s="39">
        <f>$B$15</f>
        <v>760.26542216872997</v>
      </c>
      <c r="C28" s="38">
        <f>$D$3</f>
        <v>420</v>
      </c>
      <c r="D28" s="39">
        <f t="shared" si="5"/>
        <v>319.31147731086656</v>
      </c>
      <c r="E28" s="40" t="str">
        <f t="shared" si="4"/>
        <v>Compresion</v>
      </c>
      <c r="G28" s="13" t="s">
        <v>60</v>
      </c>
      <c r="H28" s="13">
        <f>0</f>
        <v>0</v>
      </c>
    </row>
    <row r="29" spans="1:8" x14ac:dyDescent="0.2">
      <c r="A29" s="41">
        <v>4</v>
      </c>
      <c r="B29" s="4">
        <f>$B$16</f>
        <v>760.26542216872997</v>
      </c>
      <c r="C29" s="41">
        <f>$D$3</f>
        <v>420</v>
      </c>
      <c r="D29" s="4">
        <f t="shared" si="5"/>
        <v>319.31147731086656</v>
      </c>
      <c r="E29" s="42" t="str">
        <f t="shared" si="4"/>
        <v>Compresion</v>
      </c>
      <c r="G29" s="13" t="s">
        <v>61</v>
      </c>
      <c r="H29" s="13">
        <f>0</f>
        <v>0</v>
      </c>
    </row>
    <row r="30" spans="1:8" x14ac:dyDescent="0.2">
      <c r="A30" s="41">
        <v>5</v>
      </c>
      <c r="B30" s="4">
        <f>$B$17</f>
        <v>1900.6635554218249</v>
      </c>
      <c r="C30" s="41">
        <f>$D$3</f>
        <v>420</v>
      </c>
      <c r="D30" s="4">
        <f t="shared" ref="D30" si="6">B30*C30/1000</f>
        <v>798.27869327716644</v>
      </c>
      <c r="E30" s="42" t="str">
        <f t="shared" ref="E30" si="7">IF(C30&gt;=0,"Compresion","Traccion")</f>
        <v>Compresion</v>
      </c>
    </row>
    <row r="34" spans="1:12" x14ac:dyDescent="0.2">
      <c r="A34" s="43" t="s">
        <v>62</v>
      </c>
      <c r="B34" s="44"/>
      <c r="C34" s="45"/>
      <c r="D34" s="140" t="s">
        <v>63</v>
      </c>
      <c r="E34" s="141"/>
      <c r="F34" s="141"/>
      <c r="G34" s="141"/>
      <c r="H34" s="141"/>
      <c r="I34" s="141"/>
      <c r="J34" s="141"/>
      <c r="K34" s="141"/>
      <c r="L34" s="142"/>
    </row>
    <row r="35" spans="1:12" x14ac:dyDescent="0.2">
      <c r="A35" s="6" t="s">
        <v>64</v>
      </c>
      <c r="B35" s="20">
        <f>$B$10</f>
        <v>3.0000000000000001E-3</v>
      </c>
      <c r="C35" s="45"/>
      <c r="D35" s="3" t="s">
        <v>52</v>
      </c>
      <c r="E35" s="3" t="s">
        <v>65</v>
      </c>
      <c r="F35" s="46" t="s">
        <v>66</v>
      </c>
      <c r="G35" s="3" t="s">
        <v>54</v>
      </c>
      <c r="H35" s="3" t="s">
        <v>53</v>
      </c>
      <c r="I35" s="3" t="s">
        <v>55</v>
      </c>
      <c r="J35" s="46" t="s">
        <v>67</v>
      </c>
      <c r="K35" s="47" t="s">
        <v>56</v>
      </c>
      <c r="L35" s="48" t="s">
        <v>121</v>
      </c>
    </row>
    <row r="36" spans="1:12" x14ac:dyDescent="0.2">
      <c r="A36" s="6" t="s">
        <v>122</v>
      </c>
      <c r="B36" s="20">
        <f>ABS(F40)</f>
        <v>3.1285714285714288E-4</v>
      </c>
      <c r="C36" s="45"/>
      <c r="D36" s="3" t="s">
        <v>42</v>
      </c>
      <c r="E36" s="19">
        <f>$D$16</f>
        <v>73</v>
      </c>
      <c r="F36" s="49">
        <f>$B$35*($B$37-E36)/$B$37</f>
        <v>2.6871428571428571E-3</v>
      </c>
      <c r="G36" s="50">
        <f>MAX(-$D$3,MIN($D$3,$D$4*1000*F36))</f>
        <v>420</v>
      </c>
      <c r="H36" s="51">
        <f>$B$13</f>
        <v>1900.6635554218249</v>
      </c>
      <c r="I36" s="52">
        <f>H36*G36/1000</f>
        <v>798.27869327716644</v>
      </c>
      <c r="J36" s="53">
        <f>$B$4/2-E36</f>
        <v>277</v>
      </c>
      <c r="K36" s="54" t="str">
        <f t="shared" ref="K36:K39" si="8">IF(F36&gt;=0,"Compresion","Traccion")</f>
        <v>Compresion</v>
      </c>
      <c r="L36" s="55">
        <f>J36*I36</f>
        <v>221123.19803777512</v>
      </c>
    </row>
    <row r="37" spans="1:12" x14ac:dyDescent="0.2">
      <c r="A37" s="37" t="s">
        <v>68</v>
      </c>
      <c r="B37" s="56">
        <f>$B$4</f>
        <v>700</v>
      </c>
      <c r="C37" s="45"/>
      <c r="D37" s="39" t="s">
        <v>45</v>
      </c>
      <c r="E37" s="19">
        <f>$D$17</f>
        <v>211.5</v>
      </c>
      <c r="F37" s="58">
        <f>$B$35*($B$37-E37)/$B$37</f>
        <v>2.0935714285714286E-3</v>
      </c>
      <c r="G37" s="59">
        <f t="shared" ref="G37:G39" si="9">MAX(-$D$3,MIN($D$3,$D$4*1000*F37))</f>
        <v>420</v>
      </c>
      <c r="H37" s="51">
        <f t="shared" ref="H37:H40" si="10">$B$14</f>
        <v>760.26542216872997</v>
      </c>
      <c r="I37" s="55">
        <f t="shared" ref="I37" si="11">H37*G37/1000</f>
        <v>319.31147731086656</v>
      </c>
      <c r="J37" s="53">
        <f>$B$4/2-E37</f>
        <v>138.5</v>
      </c>
      <c r="K37" s="62" t="str">
        <f t="shared" si="8"/>
        <v>Compresion</v>
      </c>
      <c r="L37" s="55">
        <f>J37*I37</f>
        <v>44224.639607555022</v>
      </c>
    </row>
    <row r="38" spans="1:12" ht="15.75" customHeight="1" x14ac:dyDescent="0.2">
      <c r="A38" s="37" t="s">
        <v>69</v>
      </c>
      <c r="B38" s="63">
        <f>B37*$B$9</f>
        <v>560</v>
      </c>
      <c r="C38" s="45"/>
      <c r="D38" s="39" t="s">
        <v>47</v>
      </c>
      <c r="E38" s="19">
        <f>$D$18</f>
        <v>350</v>
      </c>
      <c r="F38" s="58">
        <f>$B$35*($B$37-E38)/$B$37</f>
        <v>1.5E-3</v>
      </c>
      <c r="G38" s="64">
        <f t="shared" si="9"/>
        <v>315</v>
      </c>
      <c r="H38" s="51">
        <f t="shared" si="10"/>
        <v>760.26542216872997</v>
      </c>
      <c r="I38" s="55">
        <f>H38*G38/1000</f>
        <v>239.48360798314994</v>
      </c>
      <c r="J38" s="53">
        <f>$B$4/2-E38</f>
        <v>0</v>
      </c>
      <c r="K38" s="62" t="str">
        <f t="shared" si="8"/>
        <v>Compresion</v>
      </c>
      <c r="L38" s="55">
        <f t="shared" ref="L38" si="12">J38*I38</f>
        <v>0</v>
      </c>
    </row>
    <row r="39" spans="1:12" ht="15.75" customHeight="1" x14ac:dyDescent="0.2">
      <c r="A39" s="37" t="s">
        <v>70</v>
      </c>
      <c r="B39" s="63">
        <f>0.85*$B$7*$B$3*B38/1000</f>
        <v>11662</v>
      </c>
      <c r="C39" s="45"/>
      <c r="D39" s="4" t="s">
        <v>48</v>
      </c>
      <c r="E39" s="19">
        <f>$D$19</f>
        <v>488.5</v>
      </c>
      <c r="F39" s="65">
        <f>$B$35*($B$37-E39)/$B$37</f>
        <v>9.0642857142857148E-4</v>
      </c>
      <c r="G39" s="66">
        <f t="shared" si="9"/>
        <v>190.35000000000002</v>
      </c>
      <c r="H39" s="51">
        <f>$B$16</f>
        <v>760.26542216872997</v>
      </c>
      <c r="I39" s="68">
        <f>H39*G39/1000</f>
        <v>144.71652310981776</v>
      </c>
      <c r="J39" s="53">
        <f>$B$4/2-E39</f>
        <v>-138.5</v>
      </c>
      <c r="K39" s="70" t="str">
        <f t="shared" si="8"/>
        <v>Compresion</v>
      </c>
      <c r="L39" s="55">
        <f>J39*I39</f>
        <v>-20043.238450709759</v>
      </c>
    </row>
    <row r="40" spans="1:12" x14ac:dyDescent="0.2">
      <c r="A40" s="45"/>
      <c r="B40" s="45"/>
      <c r="C40" s="45"/>
      <c r="D40" s="4" t="s">
        <v>49</v>
      </c>
      <c r="E40" s="19">
        <f>$D$20</f>
        <v>627</v>
      </c>
      <c r="F40" s="65">
        <f>$B$35*($B$37-E40)/$B$37</f>
        <v>3.1285714285714288E-4</v>
      </c>
      <c r="G40" s="66">
        <f>MAX(-$D$3,MIN($D$3,$D$4*1000*F40))</f>
        <v>65.7</v>
      </c>
      <c r="H40" s="51">
        <f t="shared" si="10"/>
        <v>760.26542216872997</v>
      </c>
      <c r="I40" s="68">
        <f>H40*G40/1000</f>
        <v>49.949438236485562</v>
      </c>
      <c r="J40" s="53">
        <f>$B$4/2-E40</f>
        <v>-277</v>
      </c>
      <c r="K40" s="70" t="str">
        <f t="shared" ref="K40" si="13">IF(F40&gt;=0,"Compresion","Traccion")</f>
        <v>Compresion</v>
      </c>
      <c r="L40" s="55">
        <f t="shared" ref="L40" si="14">J40*I40</f>
        <v>-13835.994391506501</v>
      </c>
    </row>
    <row r="41" spans="1:12" x14ac:dyDescent="0.2">
      <c r="A41" s="37" t="s">
        <v>85</v>
      </c>
      <c r="B41" s="63">
        <f>B39+SUM(I36:I40)</f>
        <v>13213.739739917486</v>
      </c>
      <c r="C41" s="45"/>
      <c r="D41" s="45"/>
      <c r="E41" s="19"/>
      <c r="F41" s="65"/>
      <c r="G41" s="45"/>
      <c r="H41" s="45"/>
      <c r="I41" s="45"/>
      <c r="J41" s="45"/>
      <c r="K41" s="45"/>
      <c r="L41" s="45"/>
    </row>
    <row r="42" spans="1:12" x14ac:dyDescent="0.2">
      <c r="A42" s="37" t="s">
        <v>86</v>
      </c>
      <c r="B42" s="20">
        <f>(($B$4/2-B38/2)*B39+SUM(L36:L40))/1000</f>
        <v>1047.8086048031139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</row>
    <row r="43" spans="1:12" x14ac:dyDescent="0.2">
      <c r="A43" s="13" t="s">
        <v>123</v>
      </c>
      <c r="B43" s="13">
        <f>(0.65)*B41</f>
        <v>8588.9308309463668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</row>
    <row r="44" spans="1:12" x14ac:dyDescent="0.2">
      <c r="A44" s="13" t="s">
        <v>119</v>
      </c>
      <c r="B44" s="71">
        <f t="shared" ref="B44" si="15">(0.65)*B42</f>
        <v>681.07559312202409</v>
      </c>
      <c r="C44" s="45"/>
      <c r="D44" s="45"/>
      <c r="E44" s="45"/>
      <c r="F44" s="45"/>
      <c r="G44" s="45"/>
      <c r="H44" s="45"/>
      <c r="I44" s="45"/>
      <c r="J44" s="45"/>
      <c r="K44" s="45"/>
      <c r="L44" s="45"/>
    </row>
    <row r="47" spans="1:12" x14ac:dyDescent="0.2">
      <c r="A47" s="45" t="s">
        <v>71</v>
      </c>
      <c r="B47" s="45"/>
      <c r="C47" s="45"/>
      <c r="D47" s="140" t="s">
        <v>72</v>
      </c>
      <c r="E47" s="141"/>
      <c r="F47" s="141"/>
      <c r="G47" s="141"/>
      <c r="H47" s="141"/>
      <c r="I47" s="141"/>
      <c r="J47" s="141"/>
      <c r="K47" s="141"/>
      <c r="L47" s="142"/>
    </row>
    <row r="48" spans="1:12" x14ac:dyDescent="0.2">
      <c r="A48" s="6" t="s">
        <v>64</v>
      </c>
      <c r="B48" s="20">
        <f>$B$10</f>
        <v>3.0000000000000001E-3</v>
      </c>
      <c r="C48" s="45"/>
      <c r="D48" s="3" t="s">
        <v>52</v>
      </c>
      <c r="E48" s="3" t="s">
        <v>65</v>
      </c>
      <c r="F48" s="46" t="s">
        <v>66</v>
      </c>
      <c r="G48" s="3" t="s">
        <v>54</v>
      </c>
      <c r="H48" s="3" t="s">
        <v>53</v>
      </c>
      <c r="I48" s="3" t="s">
        <v>55</v>
      </c>
      <c r="J48" s="46" t="s">
        <v>67</v>
      </c>
      <c r="K48" s="47" t="s">
        <v>56</v>
      </c>
      <c r="L48" s="48" t="s">
        <v>121</v>
      </c>
    </row>
    <row r="49" spans="1:12" x14ac:dyDescent="0.2">
      <c r="A49" s="6" t="s">
        <v>73</v>
      </c>
      <c r="B49" s="20">
        <f>ABS(F53)</f>
        <v>2E-3</v>
      </c>
      <c r="C49" s="45"/>
      <c r="D49" s="3" t="s">
        <v>42</v>
      </c>
      <c r="E49" s="19">
        <f>$D$16</f>
        <v>73</v>
      </c>
      <c r="F49" s="49">
        <f>$B$48*($B$50-E49)/$B$50</f>
        <v>2.4178628389154703E-3</v>
      </c>
      <c r="G49" s="50">
        <f t="shared" ref="G49:G52" si="16">MAX(-$D$3,MIN($D$3,$D$4*1000*F49))</f>
        <v>420</v>
      </c>
      <c r="H49" s="51">
        <f>$B$13</f>
        <v>1900.6635554218249</v>
      </c>
      <c r="I49" s="52">
        <f t="shared" ref="I49:I52" si="17">H49*G49/1000</f>
        <v>798.27869327716644</v>
      </c>
      <c r="J49" s="53">
        <f>$B$4/2-E49</f>
        <v>277</v>
      </c>
      <c r="K49" s="54" t="str">
        <f t="shared" ref="K49:K52" si="18">IF(F49&gt;=0,"Compresion","Traccion")</f>
        <v>Compresion</v>
      </c>
      <c r="L49" s="55">
        <f>J49*I49</f>
        <v>221123.19803777512</v>
      </c>
    </row>
    <row r="50" spans="1:12" x14ac:dyDescent="0.2">
      <c r="A50" s="37" t="s">
        <v>68</v>
      </c>
      <c r="B50" s="56">
        <f>$D$20*$B$48/($B$48+$D$5)</f>
        <v>376.2</v>
      </c>
      <c r="C50" s="45"/>
      <c r="D50" s="39" t="s">
        <v>45</v>
      </c>
      <c r="E50" s="19">
        <f>$D$17</f>
        <v>211.5</v>
      </c>
      <c r="F50" s="58">
        <f>$B$48*($B$50-E50)/$B$50</f>
        <v>1.3133971291866028E-3</v>
      </c>
      <c r="G50" s="59">
        <f t="shared" si="16"/>
        <v>275.81339712918657</v>
      </c>
      <c r="H50" s="60">
        <f>$B$14</f>
        <v>760.26542216872997</v>
      </c>
      <c r="I50" s="55">
        <f t="shared" si="17"/>
        <v>209.69138880821259</v>
      </c>
      <c r="J50" s="53">
        <f>$B$4/2-E50</f>
        <v>138.5</v>
      </c>
      <c r="K50" s="62" t="str">
        <f t="shared" si="18"/>
        <v>Compresion</v>
      </c>
      <c r="L50" s="55">
        <f t="shared" ref="L50:L51" si="19">J50*I50</f>
        <v>29042.257349937445</v>
      </c>
    </row>
    <row r="51" spans="1:12" ht="15.75" customHeight="1" x14ac:dyDescent="0.2">
      <c r="A51" s="37" t="s">
        <v>69</v>
      </c>
      <c r="B51" s="63">
        <f>B50*$B$9</f>
        <v>300.95999999999998</v>
      </c>
      <c r="C51" s="45"/>
      <c r="D51" s="39" t="s">
        <v>47</v>
      </c>
      <c r="E51" s="19">
        <f>$D$18</f>
        <v>350</v>
      </c>
      <c r="F51" s="58">
        <f>$B$48*($B$50-E51)/$B$50</f>
        <v>2.0893141945773516E-4</v>
      </c>
      <c r="G51" s="64">
        <f t="shared" si="16"/>
        <v>43.875598086124384</v>
      </c>
      <c r="H51" s="60">
        <f>$B$15</f>
        <v>760.26542216872997</v>
      </c>
      <c r="I51" s="55">
        <f t="shared" si="17"/>
        <v>33.357100101852879</v>
      </c>
      <c r="J51" s="53">
        <f>$B$4/2-E51</f>
        <v>0</v>
      </c>
      <c r="K51" s="62" t="str">
        <f t="shared" si="18"/>
        <v>Compresion</v>
      </c>
      <c r="L51" s="55">
        <f t="shared" si="19"/>
        <v>0</v>
      </c>
    </row>
    <row r="52" spans="1:12" ht="15.75" customHeight="1" x14ac:dyDescent="0.2">
      <c r="A52" s="37" t="s">
        <v>70</v>
      </c>
      <c r="B52" s="63">
        <f>0.85*$B$7*$B$3*B51/1000</f>
        <v>6267.4920000000002</v>
      </c>
      <c r="C52" s="45"/>
      <c r="D52" s="4" t="s">
        <v>48</v>
      </c>
      <c r="E52" s="19">
        <f>$D$19</f>
        <v>488.5</v>
      </c>
      <c r="F52" s="65">
        <f>$B$48*($B$50-E52)/$B$50</f>
        <v>-8.9553429027113246E-4</v>
      </c>
      <c r="G52" s="66">
        <f t="shared" si="16"/>
        <v>-188.06220095693783</v>
      </c>
      <c r="H52" s="67">
        <f>$B$16</f>
        <v>760.26542216872997</v>
      </c>
      <c r="I52" s="68">
        <f t="shared" si="17"/>
        <v>-142.97718860450686</v>
      </c>
      <c r="J52" s="53">
        <f>$B$4/2-E52</f>
        <v>-138.5</v>
      </c>
      <c r="K52" s="70" t="str">
        <f t="shared" si="18"/>
        <v>Traccion</v>
      </c>
      <c r="L52" s="55">
        <f>J52*I52</f>
        <v>19802.340621724201</v>
      </c>
    </row>
    <row r="53" spans="1:12" x14ac:dyDescent="0.2">
      <c r="A53" s="45"/>
      <c r="B53" s="45"/>
      <c r="C53" s="45"/>
      <c r="D53" s="4" t="s">
        <v>49</v>
      </c>
      <c r="E53" s="19">
        <f>$D$20</f>
        <v>627</v>
      </c>
      <c r="F53" s="65">
        <f>$B$48*($B$50-E53)/$B$50</f>
        <v>-2E-3</v>
      </c>
      <c r="G53" s="66">
        <f t="shared" ref="G53" si="20">MAX(-$D$3,MIN($D$3,$D$4*1000*F53))</f>
        <v>-420</v>
      </c>
      <c r="H53" s="67">
        <f>$B$17</f>
        <v>1900.6635554218249</v>
      </c>
      <c r="I53" s="68">
        <f t="shared" ref="I53" si="21">H53*G53/1000</f>
        <v>-798.27869327716644</v>
      </c>
      <c r="J53" s="53">
        <f>$B$4/2-E53</f>
        <v>-277</v>
      </c>
      <c r="K53" s="70" t="str">
        <f t="shared" ref="K53" si="22">IF(F53&gt;=0,"Compresion","Traccion")</f>
        <v>Traccion</v>
      </c>
      <c r="L53" s="55">
        <f>J53*I53</f>
        <v>221123.19803777512</v>
      </c>
    </row>
    <row r="54" spans="1:12" x14ac:dyDescent="0.2">
      <c r="A54" s="37" t="s">
        <v>85</v>
      </c>
      <c r="B54" s="63">
        <f>B52+SUM(I49:I53)</f>
        <v>6367.5633003055591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</row>
    <row r="55" spans="1:12" x14ac:dyDescent="0.2">
      <c r="A55" s="37" t="s">
        <v>86</v>
      </c>
      <c r="B55" s="20">
        <f>(($B$4/2-B51/2)*B52+SUM(L49:L53))/1000</f>
        <v>1741.5809978872121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</row>
    <row r="56" spans="1:12" x14ac:dyDescent="0.2">
      <c r="A56" s="13" t="s">
        <v>123</v>
      </c>
      <c r="B56" s="13">
        <f t="shared" ref="B56:B57" si="23">(0.65)*B54</f>
        <v>4138.9161451986138</v>
      </c>
      <c r="C56" s="45"/>
      <c r="D56" s="45"/>
      <c r="E56" s="45"/>
      <c r="F56" s="45"/>
      <c r="G56" s="45"/>
      <c r="H56" s="45"/>
      <c r="I56" s="45"/>
      <c r="J56" s="45"/>
      <c r="K56" s="45"/>
      <c r="L56" s="45"/>
    </row>
    <row r="57" spans="1:12" x14ac:dyDescent="0.2">
      <c r="A57" s="13" t="s">
        <v>119</v>
      </c>
      <c r="B57" s="71">
        <f t="shared" si="23"/>
        <v>1132.027648626688</v>
      </c>
      <c r="C57" s="45"/>
      <c r="D57" s="45"/>
      <c r="E57" s="45"/>
      <c r="F57" s="45"/>
      <c r="G57" s="45"/>
      <c r="H57" s="45"/>
      <c r="I57" s="45"/>
      <c r="J57" s="45"/>
      <c r="K57" s="45"/>
      <c r="L57" s="45"/>
    </row>
    <row r="60" spans="1:12" x14ac:dyDescent="0.2">
      <c r="A60" s="45" t="s">
        <v>74</v>
      </c>
      <c r="B60" s="45"/>
      <c r="C60" s="45"/>
      <c r="D60" s="140" t="s">
        <v>75</v>
      </c>
      <c r="E60" s="141"/>
      <c r="F60" s="141"/>
      <c r="G60" s="141"/>
      <c r="H60" s="141"/>
      <c r="I60" s="141"/>
      <c r="J60" s="141"/>
      <c r="K60" s="141"/>
      <c r="L60" s="142"/>
    </row>
    <row r="61" spans="1:12" x14ac:dyDescent="0.2">
      <c r="A61" s="6" t="s">
        <v>64</v>
      </c>
      <c r="B61" s="20">
        <f>$B$10</f>
        <v>3.0000000000000001E-3</v>
      </c>
      <c r="C61" s="45"/>
      <c r="D61" s="3" t="s">
        <v>52</v>
      </c>
      <c r="E61" s="3" t="s">
        <v>65</v>
      </c>
      <c r="F61" s="46" t="s">
        <v>66</v>
      </c>
      <c r="G61" s="3" t="s">
        <v>54</v>
      </c>
      <c r="H61" s="3" t="s">
        <v>53</v>
      </c>
      <c r="I61" s="3" t="s">
        <v>55</v>
      </c>
      <c r="J61" s="46" t="s">
        <v>67</v>
      </c>
      <c r="K61" s="47" t="s">
        <v>56</v>
      </c>
      <c r="L61" s="48" t="s">
        <v>121</v>
      </c>
    </row>
    <row r="62" spans="1:12" x14ac:dyDescent="0.2">
      <c r="A62" s="6" t="s">
        <v>73</v>
      </c>
      <c r="B62" s="20">
        <f>ABS(F66)</f>
        <v>3.0000000000000001E-3</v>
      </c>
      <c r="C62" s="45"/>
      <c r="D62" s="3" t="s">
        <v>42</v>
      </c>
      <c r="E62" s="19">
        <f>$D$16</f>
        <v>73</v>
      </c>
      <c r="F62" s="49">
        <f>$B$61*($B$63-E62)/$B$63</f>
        <v>2.3014354066985647E-3</v>
      </c>
      <c r="G62" s="50">
        <f t="shared" ref="G62:G65" si="24">MAX(-$D$3,MIN($D$3,$D$4*1000*F62))</f>
        <v>420</v>
      </c>
      <c r="H62" s="51">
        <f>$B$13</f>
        <v>1900.6635554218249</v>
      </c>
      <c r="I62" s="52">
        <f t="shared" ref="I62:I65" si="25">H62*G62/1000</f>
        <v>798.27869327716644</v>
      </c>
      <c r="J62" s="53">
        <f>$B$4/2-E62</f>
        <v>277</v>
      </c>
      <c r="K62" s="54" t="str">
        <f t="shared" ref="K62:K65" si="26">IF(F62&gt;=0,"Compresion","Traccion")</f>
        <v>Compresion</v>
      </c>
      <c r="L62" s="55">
        <f t="shared" ref="L62:L65" si="27">J62*I62</f>
        <v>221123.19803777512</v>
      </c>
    </row>
    <row r="63" spans="1:12" x14ac:dyDescent="0.2">
      <c r="A63" s="37" t="s">
        <v>68</v>
      </c>
      <c r="B63" s="56">
        <f>$D$20*$B$61/($B$61+0.003)</f>
        <v>313.5</v>
      </c>
      <c r="C63" s="45"/>
      <c r="D63" s="39" t="s">
        <v>45</v>
      </c>
      <c r="E63" s="19">
        <f t="shared" ref="E63:E65" si="28">$D$17</f>
        <v>211.5</v>
      </c>
      <c r="F63" s="58">
        <f>$B$61*($B$63-E63)/$B$63</f>
        <v>9.760765550239234E-4</v>
      </c>
      <c r="G63" s="59">
        <f t="shared" si="24"/>
        <v>204.97607655502392</v>
      </c>
      <c r="H63" s="60">
        <f>$B$14</f>
        <v>760.26542216872997</v>
      </c>
      <c r="I63" s="55">
        <f t="shared" si="25"/>
        <v>155.83622337659517</v>
      </c>
      <c r="J63" s="61">
        <f>$B$4/2-E63</f>
        <v>138.5</v>
      </c>
      <c r="K63" s="62" t="str">
        <f t="shared" si="26"/>
        <v>Compresion</v>
      </c>
      <c r="L63" s="55">
        <f t="shared" si="27"/>
        <v>21583.31693765843</v>
      </c>
    </row>
    <row r="64" spans="1:12" ht="15.75" customHeight="1" x14ac:dyDescent="0.2">
      <c r="A64" s="37" t="s">
        <v>69</v>
      </c>
      <c r="B64" s="63">
        <f>B63*$B$9</f>
        <v>250.79999999999998</v>
      </c>
      <c r="C64" s="45"/>
      <c r="D64" s="39" t="s">
        <v>47</v>
      </c>
      <c r="E64" s="19">
        <f t="shared" si="28"/>
        <v>211.5</v>
      </c>
      <c r="F64" s="58">
        <f>$B$61*($B$63-E64)/$B$63</f>
        <v>9.760765550239234E-4</v>
      </c>
      <c r="G64" s="64">
        <f t="shared" si="24"/>
        <v>204.97607655502392</v>
      </c>
      <c r="H64" s="60">
        <f>$B$15</f>
        <v>760.26542216872997</v>
      </c>
      <c r="I64" s="55">
        <f t="shared" si="25"/>
        <v>155.83622337659517</v>
      </c>
      <c r="J64" s="61">
        <f>$B$4/2-E64</f>
        <v>138.5</v>
      </c>
      <c r="K64" s="62" t="str">
        <f t="shared" si="26"/>
        <v>Compresion</v>
      </c>
      <c r="L64" s="55">
        <f t="shared" si="27"/>
        <v>21583.31693765843</v>
      </c>
    </row>
    <row r="65" spans="1:12" ht="15.75" customHeight="1" x14ac:dyDescent="0.2">
      <c r="A65" s="37" t="s">
        <v>70</v>
      </c>
      <c r="B65" s="63">
        <f>0.85*$B$7*$B$3*B64/1000</f>
        <v>5222.91</v>
      </c>
      <c r="C65" s="45"/>
      <c r="D65" s="4" t="s">
        <v>48</v>
      </c>
      <c r="E65" s="19">
        <f t="shared" si="28"/>
        <v>211.5</v>
      </c>
      <c r="F65" s="65">
        <f>$B$61*($B$63-E65)/$B$63</f>
        <v>9.760765550239234E-4</v>
      </c>
      <c r="G65" s="66">
        <f t="shared" si="24"/>
        <v>204.97607655502392</v>
      </c>
      <c r="H65" s="67">
        <f>$B$16</f>
        <v>760.26542216872997</v>
      </c>
      <c r="I65" s="68">
        <f t="shared" si="25"/>
        <v>155.83622337659517</v>
      </c>
      <c r="J65" s="69">
        <f>$B$4/2-E65</f>
        <v>138.5</v>
      </c>
      <c r="K65" s="70" t="str">
        <f t="shared" si="26"/>
        <v>Compresion</v>
      </c>
      <c r="L65" s="55">
        <f t="shared" si="27"/>
        <v>21583.31693765843</v>
      </c>
    </row>
    <row r="66" spans="1:12" x14ac:dyDescent="0.2">
      <c r="A66" s="45"/>
      <c r="B66" s="45"/>
      <c r="C66" s="45"/>
      <c r="D66" s="4" t="s">
        <v>49</v>
      </c>
      <c r="E66" s="19">
        <f>$D$20</f>
        <v>627</v>
      </c>
      <c r="F66" s="65">
        <f>$B$61*($B$63-E66)/$B$63</f>
        <v>-3.0000000000000001E-3</v>
      </c>
      <c r="G66" s="66">
        <f t="shared" ref="G66" si="29">MAX(-$D$3,MIN($D$3,$D$4*1000*F66))</f>
        <v>-420</v>
      </c>
      <c r="H66" s="67">
        <f>$B$17</f>
        <v>1900.6635554218249</v>
      </c>
      <c r="I66" s="68">
        <f>H66*G66/1000</f>
        <v>-798.27869327716644</v>
      </c>
      <c r="J66" s="69">
        <f>$B$4/2-E66</f>
        <v>-277</v>
      </c>
      <c r="K66" s="70" t="str">
        <f t="shared" ref="K66" si="30">IF(F66&gt;=0,"Compresion","Traccion")</f>
        <v>Traccion</v>
      </c>
      <c r="L66" s="55">
        <f t="shared" ref="L66" si="31">J66*I66</f>
        <v>221123.19803777512</v>
      </c>
    </row>
    <row r="67" spans="1:12" x14ac:dyDescent="0.2">
      <c r="A67" s="37" t="s">
        <v>85</v>
      </c>
      <c r="B67" s="63">
        <f>B65+SUM(I62:I66)</f>
        <v>5690.4186701297858</v>
      </c>
      <c r="C67" s="45"/>
      <c r="D67" s="45"/>
      <c r="E67" s="45"/>
      <c r="F67" s="45"/>
      <c r="G67" s="45"/>
      <c r="H67" s="45"/>
      <c r="I67" s="45"/>
      <c r="J67" s="45"/>
      <c r="K67" s="45"/>
      <c r="L67" s="45"/>
    </row>
    <row r="68" spans="1:12" x14ac:dyDescent="0.2">
      <c r="A68" s="37" t="s">
        <v>86</v>
      </c>
      <c r="B68" s="20">
        <f>(($B$4/2-B64/2)*B65+SUM(L62:L66))/1000</f>
        <v>1680.0619328885255</v>
      </c>
      <c r="C68" s="45"/>
      <c r="D68" s="45"/>
      <c r="E68" s="45"/>
      <c r="F68" s="45"/>
      <c r="G68" s="45"/>
      <c r="H68" s="45"/>
      <c r="I68" s="45"/>
      <c r="J68" s="45"/>
      <c r="K68" s="45"/>
      <c r="L68" s="45"/>
    </row>
    <row r="69" spans="1:12" x14ac:dyDescent="0.2">
      <c r="A69" s="13" t="s">
        <v>123</v>
      </c>
      <c r="B69" s="13">
        <f t="shared" ref="B69:B70" si="32">(0.65+0.25*(0.003-$D$5)/(0.005-$D$5))*B67</f>
        <v>4172.9736914285104</v>
      </c>
      <c r="C69" s="45"/>
      <c r="D69" s="45"/>
      <c r="E69" s="45"/>
      <c r="F69" s="45"/>
      <c r="G69" s="45"/>
      <c r="H69" s="45"/>
      <c r="I69" s="45"/>
      <c r="J69" s="45"/>
      <c r="K69" s="45"/>
      <c r="L69" s="45"/>
    </row>
    <row r="70" spans="1:12" x14ac:dyDescent="0.2">
      <c r="A70" s="13" t="s">
        <v>119</v>
      </c>
      <c r="B70" s="71">
        <f t="shared" si="32"/>
        <v>1232.0454174515855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</row>
    <row r="73" spans="1:12" x14ac:dyDescent="0.2">
      <c r="A73" s="45" t="s">
        <v>76</v>
      </c>
      <c r="B73" s="45"/>
      <c r="C73" s="45"/>
      <c r="D73" s="6" t="s">
        <v>77</v>
      </c>
      <c r="E73" s="138"/>
      <c r="F73" s="138"/>
      <c r="G73" s="138"/>
      <c r="H73" s="138"/>
      <c r="I73" s="138"/>
      <c r="J73" s="138"/>
      <c r="K73" s="138"/>
      <c r="L73" s="139"/>
    </row>
    <row r="74" spans="1:12" x14ac:dyDescent="0.2">
      <c r="A74" s="6" t="s">
        <v>64</v>
      </c>
      <c r="B74" s="20">
        <f>$B$10</f>
        <v>3.0000000000000001E-3</v>
      </c>
      <c r="C74" s="45"/>
      <c r="D74" s="3" t="s">
        <v>52</v>
      </c>
      <c r="E74" s="3" t="s">
        <v>65</v>
      </c>
      <c r="F74" s="46" t="s">
        <v>66</v>
      </c>
      <c r="G74" s="3" t="s">
        <v>54</v>
      </c>
      <c r="H74" s="3" t="s">
        <v>53</v>
      </c>
      <c r="I74" s="3" t="s">
        <v>55</v>
      </c>
      <c r="J74" s="46" t="s">
        <v>67</v>
      </c>
      <c r="K74" s="47" t="s">
        <v>56</v>
      </c>
      <c r="L74" s="48" t="s">
        <v>121</v>
      </c>
    </row>
    <row r="75" spans="1:12" x14ac:dyDescent="0.2">
      <c r="A75" s="6" t="s">
        <v>73</v>
      </c>
      <c r="B75" s="20">
        <f>ABS(F79)</f>
        <v>4.9999999999999992E-3</v>
      </c>
      <c r="C75" s="45"/>
      <c r="D75" s="3" t="s">
        <v>42</v>
      </c>
      <c r="E75" s="19">
        <f>$D$16</f>
        <v>73</v>
      </c>
      <c r="F75" s="49">
        <f>$B$74*($B$76-E75)/$B$76</f>
        <v>2.0685805422647526E-3</v>
      </c>
      <c r="G75" s="50">
        <f t="shared" ref="G75:G78" si="33">MAX(-$D$3,MIN($D$3,$D$4*1000*F75))</f>
        <v>420</v>
      </c>
      <c r="H75" s="51">
        <f>$B$13</f>
        <v>1900.6635554218249</v>
      </c>
      <c r="I75" s="52">
        <f t="shared" ref="I75:I78" si="34">H75*G75/1000</f>
        <v>798.27869327716644</v>
      </c>
      <c r="J75" s="53">
        <f>$B$4/2-E75</f>
        <v>277</v>
      </c>
      <c r="K75" s="54" t="str">
        <f t="shared" ref="K75:K78" si="35">IF(F75&gt;=0,"Compresion","Traccion")</f>
        <v>Compresion</v>
      </c>
      <c r="L75" s="55">
        <f t="shared" ref="L75:L78" si="36">J75*I75</f>
        <v>221123.19803777512</v>
      </c>
    </row>
    <row r="76" spans="1:12" x14ac:dyDescent="0.2">
      <c r="A76" s="37" t="s">
        <v>68</v>
      </c>
      <c r="B76" s="56">
        <f>$D$20*$B$74/($B$74+0.005)</f>
        <v>235.125</v>
      </c>
      <c r="C76" s="45"/>
      <c r="D76" s="39" t="s">
        <v>45</v>
      </c>
      <c r="E76" s="57">
        <f>$D$17</f>
        <v>211.5</v>
      </c>
      <c r="F76" s="58">
        <f>$B$74*($B$76-E76)/$B$76</f>
        <v>3.014354066985646E-4</v>
      </c>
      <c r="G76" s="59">
        <f t="shared" si="33"/>
        <v>63.301435406698566</v>
      </c>
      <c r="H76" s="60">
        <f>$B$14</f>
        <v>760.26542216872997</v>
      </c>
      <c r="I76" s="55">
        <f t="shared" si="34"/>
        <v>48.125892513360277</v>
      </c>
      <c r="J76" s="61">
        <f>$B$4/2-E76</f>
        <v>138.5</v>
      </c>
      <c r="K76" s="62" t="str">
        <f t="shared" si="35"/>
        <v>Compresion</v>
      </c>
      <c r="L76" s="55">
        <f t="shared" si="36"/>
        <v>6665.436113100398</v>
      </c>
    </row>
    <row r="77" spans="1:12" ht="15.75" customHeight="1" x14ac:dyDescent="0.2">
      <c r="A77" s="37" t="s">
        <v>69</v>
      </c>
      <c r="B77" s="63">
        <f>B76*$B$9</f>
        <v>188.1</v>
      </c>
      <c r="C77" s="45"/>
      <c r="D77" s="39" t="s">
        <v>47</v>
      </c>
      <c r="E77" s="57">
        <f>$D$18</f>
        <v>350</v>
      </c>
      <c r="F77" s="58">
        <f>$B$74*($B$76-E77)/$B$76</f>
        <v>-1.4657097288676237E-3</v>
      </c>
      <c r="G77" s="64">
        <f t="shared" si="33"/>
        <v>-307.79904306220101</v>
      </c>
      <c r="H77" s="60">
        <f>$B$15</f>
        <v>760.26542216872997</v>
      </c>
      <c r="I77" s="55">
        <f t="shared" si="34"/>
        <v>-234.00896941681535</v>
      </c>
      <c r="J77" s="61">
        <f>$B$4/2-E77</f>
        <v>0</v>
      </c>
      <c r="K77" s="62" t="str">
        <f t="shared" si="35"/>
        <v>Traccion</v>
      </c>
      <c r="L77" s="55">
        <f t="shared" si="36"/>
        <v>0</v>
      </c>
    </row>
    <row r="78" spans="1:12" ht="15.75" customHeight="1" x14ac:dyDescent="0.2">
      <c r="A78" s="37" t="s">
        <v>70</v>
      </c>
      <c r="B78" s="63">
        <f>0.85*$B$7*$B$3*B77/1000</f>
        <v>3917.1824999999999</v>
      </c>
      <c r="C78" s="45"/>
      <c r="D78" s="4" t="s">
        <v>48</v>
      </c>
      <c r="E78" s="5">
        <f>$D$19</f>
        <v>488.5</v>
      </c>
      <c r="F78" s="65">
        <f>$B$74*($B$76-E78)/$B$76</f>
        <v>-3.2328548644338121E-3</v>
      </c>
      <c r="G78" s="66">
        <f t="shared" si="33"/>
        <v>-420</v>
      </c>
      <c r="H78" s="67">
        <f>$B$16</f>
        <v>760.26542216872997</v>
      </c>
      <c r="I78" s="68">
        <f t="shared" si="34"/>
        <v>-319.31147731086656</v>
      </c>
      <c r="J78" s="69">
        <f>$B$4/2-E78</f>
        <v>-138.5</v>
      </c>
      <c r="K78" s="70" t="str">
        <f t="shared" si="35"/>
        <v>Traccion</v>
      </c>
      <c r="L78" s="55">
        <f t="shared" si="36"/>
        <v>44224.639607555022</v>
      </c>
    </row>
    <row r="79" spans="1:12" x14ac:dyDescent="0.2">
      <c r="A79" s="45"/>
      <c r="B79" s="45"/>
      <c r="C79" s="45"/>
      <c r="D79" s="4" t="s">
        <v>49</v>
      </c>
      <c r="E79" s="19">
        <f>$D$20</f>
        <v>627</v>
      </c>
      <c r="F79" s="65">
        <f>$B$74*($B$76-E79)/$B$76</f>
        <v>-4.9999999999999992E-3</v>
      </c>
      <c r="G79" s="66">
        <f t="shared" ref="G79" si="37">MAX(-$D$3,MIN($D$3,$D$4*1000*F79))</f>
        <v>-420</v>
      </c>
      <c r="H79" s="67">
        <f>$B$17</f>
        <v>1900.6635554218249</v>
      </c>
      <c r="I79" s="68">
        <f t="shared" ref="I79" si="38">H79*G79/1000</f>
        <v>-798.27869327716644</v>
      </c>
      <c r="J79" s="69">
        <f>$B$4/2-E79</f>
        <v>-277</v>
      </c>
      <c r="K79" s="70" t="str">
        <f t="shared" ref="K79" si="39">IF(F79&gt;=0,"Compresion","Traccion")</f>
        <v>Traccion</v>
      </c>
      <c r="L79" s="55">
        <f>J79*I79</f>
        <v>221123.19803777512</v>
      </c>
    </row>
    <row r="80" spans="1:12" x14ac:dyDescent="0.2">
      <c r="A80" s="37" t="s">
        <v>85</v>
      </c>
      <c r="B80" s="63">
        <f>B78+SUM(I75:I79)</f>
        <v>3411.9879457856782</v>
      </c>
      <c r="C80" s="45"/>
      <c r="D80" s="45"/>
      <c r="E80" s="45"/>
      <c r="F80" s="45"/>
      <c r="G80" s="45"/>
      <c r="H80" s="45"/>
      <c r="I80" s="45"/>
      <c r="J80" s="45"/>
      <c r="K80" s="45"/>
      <c r="L80" s="45"/>
    </row>
    <row r="81" spans="1:12" x14ac:dyDescent="0.2">
      <c r="A81" s="37" t="s">
        <v>86</v>
      </c>
      <c r="B81" s="20">
        <f>(($B$4/2-B77/2)*B78+SUM(L75:L79))/1000</f>
        <v>1495.7393326712056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</row>
    <row r="82" spans="1:12" x14ac:dyDescent="0.2">
      <c r="A82" s="13" t="s">
        <v>123</v>
      </c>
      <c r="B82" s="13">
        <f t="shared" ref="B82:B83" si="40">(0.9)*B80</f>
        <v>3070.7891512071105</v>
      </c>
      <c r="C82" s="45"/>
      <c r="D82" s="45"/>
      <c r="E82" s="45"/>
      <c r="F82" s="45"/>
      <c r="G82" s="45"/>
      <c r="H82" s="45"/>
      <c r="I82" s="45"/>
      <c r="J82" s="45"/>
      <c r="K82" s="45"/>
      <c r="L82" s="45"/>
    </row>
    <row r="83" spans="1:12" x14ac:dyDescent="0.2">
      <c r="A83" s="13" t="s">
        <v>119</v>
      </c>
      <c r="B83" s="71">
        <f t="shared" si="40"/>
        <v>1346.1653994040851</v>
      </c>
      <c r="C83" s="45"/>
      <c r="D83" s="45"/>
      <c r="E83" s="45"/>
      <c r="F83" s="45"/>
      <c r="G83" s="45"/>
      <c r="H83" s="45"/>
      <c r="I83" s="45"/>
      <c r="J83" s="45"/>
      <c r="K83" s="45"/>
      <c r="L83" s="45"/>
    </row>
    <row r="86" spans="1:12" x14ac:dyDescent="0.2">
      <c r="A86" s="45" t="s">
        <v>78</v>
      </c>
      <c r="B86" s="45"/>
      <c r="C86" s="45"/>
      <c r="D86" s="6" t="s">
        <v>79</v>
      </c>
      <c r="E86" s="138"/>
      <c r="F86" s="138"/>
      <c r="G86" s="138"/>
      <c r="H86" s="138"/>
      <c r="I86" s="138"/>
      <c r="J86" s="138"/>
      <c r="K86" s="138"/>
      <c r="L86" s="139"/>
    </row>
    <row r="87" spans="1:12" x14ac:dyDescent="0.2">
      <c r="A87" s="6" t="s">
        <v>64</v>
      </c>
      <c r="B87" s="20">
        <f>$B$10</f>
        <v>3.0000000000000001E-3</v>
      </c>
      <c r="C87" s="45"/>
      <c r="D87" s="3" t="s">
        <v>52</v>
      </c>
      <c r="E87" s="3" t="s">
        <v>65</v>
      </c>
      <c r="F87" s="46" t="s">
        <v>66</v>
      </c>
      <c r="G87" s="3" t="s">
        <v>54</v>
      </c>
      <c r="H87" s="3" t="s">
        <v>53</v>
      </c>
      <c r="I87" s="3" t="s">
        <v>55</v>
      </c>
      <c r="J87" s="46" t="s">
        <v>67</v>
      </c>
      <c r="K87" s="47" t="s">
        <v>56</v>
      </c>
      <c r="L87" s="48" t="s">
        <v>121</v>
      </c>
    </row>
    <row r="88" spans="1:12" x14ac:dyDescent="0.2">
      <c r="A88" s="6" t="s">
        <v>122</v>
      </c>
      <c r="B88" s="20">
        <f>ABS(F92)</f>
        <v>1.7642799742456222E-2</v>
      </c>
      <c r="C88" s="45"/>
      <c r="D88" s="3" t="s">
        <v>42</v>
      </c>
      <c r="E88" s="19">
        <f>$D$16</f>
        <v>73</v>
      </c>
      <c r="F88" s="49">
        <f>$B$87*($B$89-E88)/$B$89</f>
        <v>5.9661183221801589E-4</v>
      </c>
      <c r="G88" s="50">
        <f t="shared" ref="G88:G91" si="41">MAX(-$D$3,MIN($D$3,$D$4*1000*F88))</f>
        <v>125.28848476578334</v>
      </c>
      <c r="H88" s="51">
        <f>$B$13</f>
        <v>1900.6635554218249</v>
      </c>
      <c r="I88" s="52">
        <f t="shared" ref="I88:I91" si="42">H88*G88/1000</f>
        <v>238.1312569083469</v>
      </c>
      <c r="J88" s="53">
        <f>$B$4/2-E88</f>
        <v>277</v>
      </c>
      <c r="K88" s="54" t="str">
        <f t="shared" ref="K88:K91" si="43">IF(F88&gt;=0,"Compresion","Traccion")</f>
        <v>Compresion</v>
      </c>
      <c r="L88" s="55">
        <f t="shared" ref="L88:L91" si="44">J88*I88</f>
        <v>65962.358163612094</v>
      </c>
    </row>
    <row r="89" spans="1:12" x14ac:dyDescent="0.2">
      <c r="A89" s="37" t="s">
        <v>68</v>
      </c>
      <c r="B89" s="63">
        <f>(-($B$13*$D$4*1000*$B$87-($B$18-$B$13)*$D$3)+SQRT(($B$13*$D$4*1000*$B$87-($B$18-$B$13)*$D$3)^2+4*(0.85*$B$7*$B$3*$B$9)*($B$13*$D$4*1000*$B$87)*$D$16))/(2*(0.85*$B$7*$B$3*$B$9))</f>
        <v>91.121360642342111</v>
      </c>
      <c r="C89" s="45"/>
      <c r="D89" s="39" t="s">
        <v>45</v>
      </c>
      <c r="E89" s="57">
        <f>$D$17</f>
        <v>211.5</v>
      </c>
      <c r="F89" s="58">
        <f>$B$87*($B$89-E89)/$B$89</f>
        <v>-3.9632410614505427E-3</v>
      </c>
      <c r="G89" s="59">
        <f t="shared" si="41"/>
        <v>-420</v>
      </c>
      <c r="H89" s="60">
        <f>$B$14</f>
        <v>760.26542216872997</v>
      </c>
      <c r="I89" s="55">
        <f t="shared" si="42"/>
        <v>-319.31147731086656</v>
      </c>
      <c r="J89" s="61">
        <f>$B$4/2-E89</f>
        <v>138.5</v>
      </c>
      <c r="K89" s="62" t="str">
        <f t="shared" si="43"/>
        <v>Traccion</v>
      </c>
      <c r="L89" s="55">
        <f t="shared" si="44"/>
        <v>-44224.639607555022</v>
      </c>
    </row>
    <row r="90" spans="1:12" ht="15.75" customHeight="1" x14ac:dyDescent="0.2">
      <c r="A90" s="37" t="s">
        <v>69</v>
      </c>
      <c r="B90" s="63">
        <f>B89*$B$9</f>
        <v>72.897088513873683</v>
      </c>
      <c r="C90" s="45"/>
      <c r="D90" s="39" t="s">
        <v>47</v>
      </c>
      <c r="E90" s="57">
        <f>$D$18</f>
        <v>350</v>
      </c>
      <c r="F90" s="58">
        <f>$B$87*($B$89-E90)/$B$89</f>
        <v>-8.5230939551191025E-3</v>
      </c>
      <c r="G90" s="64">
        <f t="shared" si="41"/>
        <v>-420</v>
      </c>
      <c r="H90" s="60">
        <f>$B$15</f>
        <v>760.26542216872997</v>
      </c>
      <c r="I90" s="55">
        <f t="shared" si="42"/>
        <v>-319.31147731086656</v>
      </c>
      <c r="J90" s="61">
        <f>$B$4/2-E90</f>
        <v>0</v>
      </c>
      <c r="K90" s="62" t="str">
        <f t="shared" si="43"/>
        <v>Traccion</v>
      </c>
      <c r="L90" s="55">
        <f t="shared" si="44"/>
        <v>0</v>
      </c>
    </row>
    <row r="91" spans="1:12" x14ac:dyDescent="0.2">
      <c r="A91" s="37" t="s">
        <v>70</v>
      </c>
      <c r="B91" s="63">
        <f>0.85*$B$7*$B$3*B90/1000</f>
        <v>1518.0818683014195</v>
      </c>
      <c r="C91" s="45"/>
      <c r="D91" s="4" t="s">
        <v>48</v>
      </c>
      <c r="E91" s="5">
        <f>$D$19</f>
        <v>488.5</v>
      </c>
      <c r="F91" s="65">
        <f>$B$87*($B$89-E91)/$B$89</f>
        <v>-1.3082946848787661E-2</v>
      </c>
      <c r="G91" s="66">
        <f t="shared" si="41"/>
        <v>-420</v>
      </c>
      <c r="H91" s="67">
        <f>$B$16</f>
        <v>760.26542216872997</v>
      </c>
      <c r="I91" s="68">
        <f t="shared" si="42"/>
        <v>-319.31147731086656</v>
      </c>
      <c r="J91" s="69">
        <f>$B$4/2-E91</f>
        <v>-138.5</v>
      </c>
      <c r="K91" s="70" t="str">
        <f t="shared" si="43"/>
        <v>Traccion</v>
      </c>
      <c r="L91" s="55">
        <f t="shared" si="44"/>
        <v>44224.639607555022</v>
      </c>
    </row>
    <row r="92" spans="1:12" x14ac:dyDescent="0.2">
      <c r="A92" s="45"/>
      <c r="B92" s="45"/>
      <c r="C92" s="45"/>
      <c r="D92" s="4" t="s">
        <v>49</v>
      </c>
      <c r="E92" s="19">
        <f>$D$20</f>
        <v>627</v>
      </c>
      <c r="F92" s="65">
        <f>$B$87*($B$89-E92)/$B$89</f>
        <v>-1.7642799742456222E-2</v>
      </c>
      <c r="G92" s="66">
        <f t="shared" ref="G92" si="45">MAX(-$D$3,MIN($D$3,$D$4*1000*F92))</f>
        <v>-420</v>
      </c>
      <c r="H92" s="67">
        <f>$B$17</f>
        <v>1900.6635554218249</v>
      </c>
      <c r="I92" s="68">
        <f t="shared" ref="I92" si="46">H92*G92/1000</f>
        <v>-798.27869327716644</v>
      </c>
      <c r="J92" s="69">
        <f>$B$4/2-E92</f>
        <v>-277</v>
      </c>
      <c r="K92" s="70" t="str">
        <f t="shared" ref="K92" si="47">IF(F92&gt;=0,"Compresion","Traccion")</f>
        <v>Traccion</v>
      </c>
      <c r="L92" s="55">
        <f t="shared" ref="L92" si="48">J92*I92</f>
        <v>221123.19803777512</v>
      </c>
    </row>
    <row r="93" spans="1:12" x14ac:dyDescent="0.2">
      <c r="A93" s="37" t="s">
        <v>85</v>
      </c>
      <c r="B93" s="63">
        <f>B91+SUM(I88:I92)</f>
        <v>0</v>
      </c>
      <c r="C93" s="45"/>
      <c r="D93" s="45"/>
      <c r="E93" s="45"/>
      <c r="F93" s="45"/>
      <c r="G93" s="45"/>
      <c r="H93" s="45"/>
      <c r="I93" s="45"/>
      <c r="J93" s="45"/>
      <c r="K93" s="45"/>
      <c r="L93" s="45"/>
    </row>
    <row r="94" spans="1:12" x14ac:dyDescent="0.2">
      <c r="A94" s="37" t="s">
        <v>86</v>
      </c>
      <c r="B94" s="20">
        <f>(($B$4/2-B90/2)*B91+SUM(L88:L92))/1000</f>
        <v>763.08233594444641</v>
      </c>
      <c r="C94" s="45"/>
      <c r="D94" s="45"/>
      <c r="E94" s="45"/>
      <c r="F94" s="45"/>
      <c r="G94" s="45"/>
      <c r="H94" s="45"/>
      <c r="I94" s="45"/>
      <c r="J94" s="45"/>
      <c r="K94" s="45"/>
      <c r="L94" s="45"/>
    </row>
    <row r="95" spans="1:12" x14ac:dyDescent="0.2">
      <c r="A95" s="13" t="s">
        <v>123</v>
      </c>
      <c r="B95" s="13">
        <f t="shared" ref="B95:B96" si="49">(0.9)*B93</f>
        <v>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</row>
    <row r="96" spans="1:12" x14ac:dyDescent="0.2">
      <c r="A96" s="13" t="s">
        <v>119</v>
      </c>
      <c r="B96" s="71">
        <f t="shared" si="49"/>
        <v>686.77410235000184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</row>
    <row r="98" spans="1:8" ht="15.75" customHeight="1" x14ac:dyDescent="0.2">
      <c r="A98" s="6" t="s">
        <v>80</v>
      </c>
      <c r="B98" s="138"/>
      <c r="C98" s="138"/>
      <c r="D98" s="138"/>
      <c r="E98" s="139"/>
      <c r="G98" s="37" t="s">
        <v>51</v>
      </c>
      <c r="H98" s="139"/>
    </row>
    <row r="99" spans="1:8" ht="15.75" customHeight="1" x14ac:dyDescent="0.2">
      <c r="A99" s="13" t="s">
        <v>52</v>
      </c>
      <c r="B99" s="13" t="s">
        <v>53</v>
      </c>
      <c r="C99" s="13" t="s">
        <v>54</v>
      </c>
      <c r="D99" s="13" t="s">
        <v>55</v>
      </c>
      <c r="E99" s="20" t="s">
        <v>56</v>
      </c>
      <c r="G99" s="13" t="s">
        <v>57</v>
      </c>
      <c r="H99" s="13">
        <f>D100</f>
        <v>-2554.4918184869325</v>
      </c>
    </row>
    <row r="100" spans="1:8" ht="15.75" customHeight="1" x14ac:dyDescent="0.2">
      <c r="A100" s="38" t="s">
        <v>124</v>
      </c>
      <c r="B100" s="39">
        <f>$B$18</f>
        <v>6082.1233773498398</v>
      </c>
      <c r="C100" s="38">
        <f>-$D$3</f>
        <v>-420</v>
      </c>
      <c r="D100" s="39">
        <f>B100*C100/1000</f>
        <v>-2554.4918184869325</v>
      </c>
      <c r="E100" s="40" t="str">
        <f>IF(C100&gt;=0,"Compresion","Traccion")</f>
        <v>Traccion</v>
      </c>
      <c r="G100" s="13" t="s">
        <v>59</v>
      </c>
      <c r="H100" s="13">
        <f>0.9*H99</f>
        <v>-2299.0426366382394</v>
      </c>
    </row>
    <row r="101" spans="1:8" ht="15.75" customHeight="1" x14ac:dyDescent="0.2">
      <c r="A101" s="38"/>
      <c r="B101" s="39"/>
      <c r="C101" s="38"/>
      <c r="D101" s="39"/>
      <c r="E101" s="40"/>
      <c r="G101" s="13" t="s">
        <v>60</v>
      </c>
      <c r="H101" s="13">
        <f>0</f>
        <v>0</v>
      </c>
    </row>
    <row r="102" spans="1:8" ht="15.75" customHeight="1" x14ac:dyDescent="0.2">
      <c r="A102" s="38"/>
      <c r="B102" s="39"/>
      <c r="C102" s="38"/>
      <c r="D102" s="39"/>
      <c r="E102" s="40"/>
      <c r="G102" s="13" t="s">
        <v>61</v>
      </c>
      <c r="H102" s="13">
        <f>0</f>
        <v>0</v>
      </c>
    </row>
  </sheetData>
  <mergeCells count="10">
    <mergeCell ref="D60:L60"/>
    <mergeCell ref="A1:D1"/>
    <mergeCell ref="A2:B2"/>
    <mergeCell ref="C2:D2"/>
    <mergeCell ref="A6:B6"/>
    <mergeCell ref="A11:B11"/>
    <mergeCell ref="A24:E24"/>
    <mergeCell ref="G24:H24"/>
    <mergeCell ref="D34:L34"/>
    <mergeCell ref="D47:L4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workbookViewId="0"/>
  </sheetViews>
  <sheetFormatPr baseColWidth="10" defaultColWidth="12.5703125" defaultRowHeight="12.75" x14ac:dyDescent="0.2"/>
  <cols>
    <col min="5" max="5" width="12.85546875" customWidth="1"/>
  </cols>
  <sheetData>
    <row r="1" spans="1:8" x14ac:dyDescent="0.2">
      <c r="A1" s="143" t="s">
        <v>0</v>
      </c>
      <c r="B1" s="144"/>
      <c r="C1" s="144"/>
      <c r="D1" s="145"/>
    </row>
    <row r="2" spans="1:8" x14ac:dyDescent="0.2">
      <c r="A2" s="146" t="s">
        <v>1</v>
      </c>
      <c r="B2" s="145"/>
      <c r="C2" s="146" t="s">
        <v>2</v>
      </c>
      <c r="D2" s="152"/>
      <c r="F2" s="153" t="s">
        <v>81</v>
      </c>
      <c r="G2" s="154"/>
      <c r="H2" s="155"/>
    </row>
    <row r="3" spans="1:8" x14ac:dyDescent="0.2">
      <c r="A3" s="4" t="s">
        <v>3</v>
      </c>
      <c r="B3" s="5">
        <v>350</v>
      </c>
      <c r="C3" s="73" t="s">
        <v>4</v>
      </c>
      <c r="D3" s="74">
        <v>420</v>
      </c>
      <c r="F3" s="156" t="s">
        <v>82</v>
      </c>
      <c r="G3" s="149"/>
      <c r="H3" s="75">
        <f>$B$10*$B$7*($B$16-$B$21)/1000</f>
        <v>13269.641881045754</v>
      </c>
    </row>
    <row r="4" spans="1:8" x14ac:dyDescent="0.2">
      <c r="A4" s="13" t="s">
        <v>6</v>
      </c>
      <c r="B4" s="14">
        <v>350</v>
      </c>
      <c r="C4" s="6" t="s">
        <v>7</v>
      </c>
      <c r="D4" s="7">
        <v>210</v>
      </c>
      <c r="F4" s="156" t="s">
        <v>83</v>
      </c>
      <c r="G4" s="149"/>
      <c r="H4" s="75">
        <f>0</f>
        <v>0</v>
      </c>
    </row>
    <row r="5" spans="1:8" x14ac:dyDescent="0.2">
      <c r="A5" s="3" t="s">
        <v>9</v>
      </c>
      <c r="B5" s="19">
        <v>30</v>
      </c>
      <c r="C5" s="6" t="s">
        <v>10</v>
      </c>
      <c r="D5" s="20">
        <f>(D3)/(D4*1000)</f>
        <v>2E-3</v>
      </c>
      <c r="F5" s="156" t="s">
        <v>84</v>
      </c>
      <c r="G5" s="149"/>
      <c r="H5" s="75">
        <f>$D$3*$B$21/1000</f>
        <v>1013.3521263419237</v>
      </c>
    </row>
    <row r="6" spans="1:8" x14ac:dyDescent="0.2">
      <c r="A6" s="146" t="s">
        <v>12</v>
      </c>
      <c r="B6" s="145"/>
      <c r="C6" s="6" t="s">
        <v>13</v>
      </c>
      <c r="D6" s="7">
        <v>4</v>
      </c>
      <c r="F6" s="156" t="s">
        <v>85</v>
      </c>
      <c r="G6" s="149"/>
      <c r="H6" s="75">
        <f>SUM(H3:H5)</f>
        <v>14282.994007387679</v>
      </c>
    </row>
    <row r="7" spans="1:8" x14ac:dyDescent="0.2">
      <c r="A7" s="4" t="s">
        <v>15</v>
      </c>
      <c r="B7" s="25">
        <v>130</v>
      </c>
      <c r="C7" s="6" t="s">
        <v>16</v>
      </c>
      <c r="D7" s="7">
        <v>2</v>
      </c>
      <c r="F7" s="157" t="s">
        <v>86</v>
      </c>
      <c r="G7" s="158"/>
      <c r="H7" s="76">
        <v>0</v>
      </c>
    </row>
    <row r="8" spans="1:8" x14ac:dyDescent="0.2">
      <c r="A8" s="4" t="s">
        <v>87</v>
      </c>
      <c r="B8" s="77">
        <v>8.5</v>
      </c>
      <c r="C8" s="6" t="s">
        <v>19</v>
      </c>
      <c r="D8" s="7">
        <v>2</v>
      </c>
    </row>
    <row r="9" spans="1:8" x14ac:dyDescent="0.2">
      <c r="A9" s="13" t="s">
        <v>88</v>
      </c>
      <c r="B9" s="6">
        <f>9115*1*(B7)^0.33</f>
        <v>45431.594485129361</v>
      </c>
      <c r="C9" s="6" t="s">
        <v>22</v>
      </c>
      <c r="D9" s="7">
        <v>4</v>
      </c>
    </row>
    <row r="10" spans="1:8" x14ac:dyDescent="0.2">
      <c r="A10" s="13" t="s">
        <v>89</v>
      </c>
      <c r="B10" s="78">
        <v>0.85</v>
      </c>
      <c r="C10" s="6" t="s">
        <v>27</v>
      </c>
      <c r="D10" s="7">
        <v>16</v>
      </c>
      <c r="F10" s="153" t="s">
        <v>90</v>
      </c>
      <c r="G10" s="154"/>
      <c r="H10" s="155"/>
    </row>
    <row r="11" spans="1:8" x14ac:dyDescent="0.2">
      <c r="A11" s="3" t="s">
        <v>24</v>
      </c>
      <c r="B11" s="79">
        <v>3.5000000000000001E-3</v>
      </c>
      <c r="C11" s="6" t="s">
        <v>30</v>
      </c>
      <c r="D11" s="7">
        <v>16</v>
      </c>
      <c r="F11" s="156" t="s">
        <v>82</v>
      </c>
      <c r="G11" s="149"/>
      <c r="H11" s="75">
        <f t="shared" ref="H11:H12" si="0">0</f>
        <v>0</v>
      </c>
    </row>
    <row r="12" spans="1:8" x14ac:dyDescent="0.2">
      <c r="A12" s="3" t="s">
        <v>91</v>
      </c>
      <c r="B12" s="79">
        <v>4.4999999999999997E-3</v>
      </c>
      <c r="C12" s="6" t="s">
        <v>33</v>
      </c>
      <c r="D12" s="7">
        <v>16</v>
      </c>
      <c r="F12" s="156" t="s">
        <v>83</v>
      </c>
      <c r="G12" s="149"/>
      <c r="H12" s="75">
        <f t="shared" si="0"/>
        <v>0</v>
      </c>
    </row>
    <row r="13" spans="1:8" x14ac:dyDescent="0.2">
      <c r="A13" s="3" t="s">
        <v>92</v>
      </c>
      <c r="B13" s="80">
        <f>B10*B7/B9</f>
        <v>2.4322280838320297E-3</v>
      </c>
      <c r="C13" s="6" t="s">
        <v>36</v>
      </c>
      <c r="D13" s="7">
        <v>16</v>
      </c>
      <c r="F13" s="156" t="s">
        <v>84</v>
      </c>
      <c r="G13" s="149"/>
      <c r="H13" s="75">
        <f>-$D$3*$B$21/1000</f>
        <v>-1013.3521263419237</v>
      </c>
    </row>
    <row r="14" spans="1:8" x14ac:dyDescent="0.2">
      <c r="A14" s="3" t="s">
        <v>93</v>
      </c>
      <c r="B14" s="81">
        <f>B8/B9</f>
        <v>1.8709446798707922E-4</v>
      </c>
      <c r="C14" s="6" t="s">
        <v>42</v>
      </c>
      <c r="D14" s="34">
        <f>B5+10+D10/2</f>
        <v>48</v>
      </c>
      <c r="F14" s="156" t="s">
        <v>85</v>
      </c>
      <c r="G14" s="149"/>
      <c r="H14" s="75">
        <f>SUM(H11:H13)</f>
        <v>-1013.3521263419237</v>
      </c>
    </row>
    <row r="15" spans="1:8" x14ac:dyDescent="0.2">
      <c r="A15" s="146" t="s">
        <v>26</v>
      </c>
      <c r="B15" s="145"/>
      <c r="C15" s="33" t="s">
        <v>45</v>
      </c>
      <c r="D15" s="34">
        <f>D14+((D17-D14)/3)</f>
        <v>132.66666666666669</v>
      </c>
      <c r="F15" s="157" t="s">
        <v>86</v>
      </c>
      <c r="G15" s="158"/>
      <c r="H15" s="76">
        <f>0</f>
        <v>0</v>
      </c>
    </row>
    <row r="16" spans="1:8" x14ac:dyDescent="0.2">
      <c r="A16" s="73" t="s">
        <v>29</v>
      </c>
      <c r="B16" s="82">
        <f>B4*B3</f>
        <v>122500</v>
      </c>
      <c r="C16" s="6" t="s">
        <v>47</v>
      </c>
      <c r="D16" s="34">
        <f>D14+(2*(D17-D14)/3)</f>
        <v>217.33333333333334</v>
      </c>
    </row>
    <row r="17" spans="1:8" x14ac:dyDescent="0.2">
      <c r="A17" s="6" t="s">
        <v>32</v>
      </c>
      <c r="B17" s="33">
        <f t="shared" ref="B17:B20" si="1">(PI()/4)*(D10^2)*D6</f>
        <v>804.24771931898704</v>
      </c>
      <c r="C17" s="6" t="s">
        <v>48</v>
      </c>
      <c r="D17" s="34">
        <f>350-B5-10-D13/2</f>
        <v>302</v>
      </c>
    </row>
    <row r="18" spans="1:8" x14ac:dyDescent="0.2">
      <c r="A18" s="6" t="s">
        <v>35</v>
      </c>
      <c r="B18" s="33">
        <f t="shared" si="1"/>
        <v>402.12385965949352</v>
      </c>
    </row>
    <row r="19" spans="1:8" x14ac:dyDescent="0.2">
      <c r="A19" s="6" t="s">
        <v>38</v>
      </c>
      <c r="B19" s="33">
        <f t="shared" si="1"/>
        <v>402.12385965949352</v>
      </c>
    </row>
    <row r="20" spans="1:8" x14ac:dyDescent="0.2">
      <c r="A20" s="6" t="s">
        <v>41</v>
      </c>
      <c r="B20" s="33">
        <f t="shared" si="1"/>
        <v>804.24771931898704</v>
      </c>
      <c r="D20" s="72" t="s">
        <v>94</v>
      </c>
      <c r="E20" s="83" t="s">
        <v>58</v>
      </c>
      <c r="F20" s="83" t="s">
        <v>60</v>
      </c>
      <c r="G20" s="83" t="s">
        <v>59</v>
      </c>
      <c r="H20" s="84" t="s">
        <v>61</v>
      </c>
    </row>
    <row r="21" spans="1:8" x14ac:dyDescent="0.2">
      <c r="A21" s="6" t="s">
        <v>46</v>
      </c>
      <c r="B21" s="33">
        <f>B17+B18+B19+B20</f>
        <v>2412.7431579569611</v>
      </c>
      <c r="D21" s="85" t="s">
        <v>5</v>
      </c>
      <c r="E21" s="86">
        <f>H6</f>
        <v>14282.994007387679</v>
      </c>
      <c r="F21" s="86">
        <f>H7</f>
        <v>0</v>
      </c>
      <c r="G21" s="86">
        <f t="shared" ref="G21:H21" si="2">E21*0.65</f>
        <v>9283.9461048019912</v>
      </c>
      <c r="H21" s="87">
        <f t="shared" si="2"/>
        <v>0</v>
      </c>
    </row>
    <row r="22" spans="1:8" x14ac:dyDescent="0.2">
      <c r="D22" s="85" t="s">
        <v>8</v>
      </c>
      <c r="E22" s="88">
        <f>'Pregunta 3.B'!H10</f>
        <v>9532.9559937767608</v>
      </c>
      <c r="F22" s="89">
        <f>'Pregunta 3.B'!H14</f>
        <v>476.7091359226381</v>
      </c>
      <c r="G22" s="86">
        <f t="shared" ref="G22:H22" si="3">E22*0.65</f>
        <v>6196.4213959548952</v>
      </c>
      <c r="H22" s="87">
        <f t="shared" si="3"/>
        <v>309.86093834971479</v>
      </c>
    </row>
    <row r="23" spans="1:8" x14ac:dyDescent="0.2">
      <c r="D23" s="85" t="s">
        <v>11</v>
      </c>
      <c r="E23" s="88">
        <f>'Pregunta 3.C'!H10</f>
        <v>4448.1008489128599</v>
      </c>
      <c r="F23" s="89">
        <f>'Pregunta 3.C'!H14</f>
        <v>651.98685014165619</v>
      </c>
      <c r="G23" s="86">
        <f t="shared" ref="G23:H23" si="4">E23*(0.65+0.25/0.003*(0.001))</f>
        <v>3261.9406225360976</v>
      </c>
      <c r="H23" s="87">
        <f t="shared" si="4"/>
        <v>478.12369010388124</v>
      </c>
    </row>
    <row r="24" spans="1:8" x14ac:dyDescent="0.2">
      <c r="D24" s="85" t="s">
        <v>14</v>
      </c>
      <c r="E24" s="88">
        <f>'Pregunta 3.D'!H10</f>
        <v>3514.0897863884447</v>
      </c>
      <c r="F24" s="89">
        <f>'Pregunta 3.D'!H14</f>
        <v>617.54466285520573</v>
      </c>
      <c r="G24" s="86">
        <f t="shared" ref="G24:H24" si="5">E24*0.65</f>
        <v>2284.1583611524893</v>
      </c>
      <c r="H24" s="87">
        <f t="shared" si="5"/>
        <v>401.40403085588372</v>
      </c>
    </row>
    <row r="25" spans="1:8" x14ac:dyDescent="0.2">
      <c r="D25" s="85" t="s">
        <v>17</v>
      </c>
      <c r="E25" s="88">
        <f>'Pregunta 3.E'!H10</f>
        <v>2482.3268038232768</v>
      </c>
      <c r="F25" s="89">
        <f>'Pregunta 3.E'!H14</f>
        <v>516.64583368910462</v>
      </c>
      <c r="G25" s="86">
        <f t="shared" ref="G25:H25" si="6">E25*0.9</f>
        <v>2234.0941234409493</v>
      </c>
      <c r="H25" s="87">
        <f t="shared" si="6"/>
        <v>464.98125032019419</v>
      </c>
    </row>
    <row r="26" spans="1:8" x14ac:dyDescent="0.2">
      <c r="D26" s="85" t="s">
        <v>20</v>
      </c>
      <c r="E26" s="90">
        <f>'Pregunta 3.F'!H10</f>
        <v>-2.3696509288129164E-7</v>
      </c>
      <c r="F26" s="89">
        <f>'Pregunta 3.F'!H14</f>
        <v>163.69262425644769</v>
      </c>
      <c r="G26" s="86">
        <f t="shared" ref="G26:H26" si="7">E26*0.9</f>
        <v>-2.1326858359316248E-7</v>
      </c>
      <c r="H26" s="87">
        <f t="shared" si="7"/>
        <v>147.32336183080292</v>
      </c>
    </row>
    <row r="27" spans="1:8" x14ac:dyDescent="0.2">
      <c r="D27" s="85" t="s">
        <v>23</v>
      </c>
      <c r="E27" s="86">
        <f>H14</f>
        <v>-1013.3521263419237</v>
      </c>
      <c r="F27" s="86">
        <f>H15</f>
        <v>0</v>
      </c>
      <c r="G27" s="86">
        <f t="shared" ref="G27:H27" si="8">E27*0.9</f>
        <v>-912.01691370773142</v>
      </c>
      <c r="H27" s="87">
        <f t="shared" si="8"/>
        <v>0</v>
      </c>
    </row>
    <row r="28" spans="1:8" x14ac:dyDescent="0.2">
      <c r="D28" s="91" t="s">
        <v>25</v>
      </c>
      <c r="E28" s="92">
        <f t="shared" ref="E28:E34" si="9">E21</f>
        <v>14282.994007387679</v>
      </c>
      <c r="F28" s="92">
        <f t="shared" ref="F28:F34" si="10">-F21</f>
        <v>0</v>
      </c>
      <c r="G28" s="92">
        <f t="shared" ref="G28:H28" si="11">E28*0.65</f>
        <v>9283.9461048019912</v>
      </c>
      <c r="H28" s="93">
        <f t="shared" si="11"/>
        <v>0</v>
      </c>
    </row>
    <row r="29" spans="1:8" x14ac:dyDescent="0.2">
      <c r="D29" s="91" t="s">
        <v>28</v>
      </c>
      <c r="E29" s="94">
        <f t="shared" si="9"/>
        <v>9532.9559937767608</v>
      </c>
      <c r="F29" s="95">
        <f t="shared" si="10"/>
        <v>-476.7091359226381</v>
      </c>
      <c r="G29" s="92">
        <f t="shared" ref="G29:H29" si="12">E29*0.65</f>
        <v>6196.4213959548952</v>
      </c>
      <c r="H29" s="93">
        <f t="shared" si="12"/>
        <v>-309.86093834971479</v>
      </c>
    </row>
    <row r="30" spans="1:8" x14ac:dyDescent="0.2">
      <c r="D30" s="91" t="s">
        <v>31</v>
      </c>
      <c r="E30" s="94">
        <f t="shared" si="9"/>
        <v>4448.1008489128599</v>
      </c>
      <c r="F30" s="95">
        <f t="shared" si="10"/>
        <v>-651.98685014165619</v>
      </c>
      <c r="G30" s="92">
        <f t="shared" ref="G30:H30" si="13">E30*(0.65+0.25/0.003*(0.001))</f>
        <v>3261.9406225360976</v>
      </c>
      <c r="H30" s="93">
        <f t="shared" si="13"/>
        <v>-478.12369010388124</v>
      </c>
    </row>
    <row r="31" spans="1:8" x14ac:dyDescent="0.2">
      <c r="D31" s="91" t="s">
        <v>34</v>
      </c>
      <c r="E31" s="94">
        <f t="shared" si="9"/>
        <v>3514.0897863884447</v>
      </c>
      <c r="F31" s="95">
        <f t="shared" si="10"/>
        <v>-617.54466285520573</v>
      </c>
      <c r="G31" s="92">
        <f t="shared" ref="G31:H31" si="14">E31*0.65</f>
        <v>2284.1583611524893</v>
      </c>
      <c r="H31" s="93">
        <f t="shared" si="14"/>
        <v>-401.40403085588372</v>
      </c>
    </row>
    <row r="32" spans="1:8" x14ac:dyDescent="0.2">
      <c r="D32" s="91" t="s">
        <v>37</v>
      </c>
      <c r="E32" s="94">
        <f t="shared" si="9"/>
        <v>2482.3268038232768</v>
      </c>
      <c r="F32" s="95">
        <f t="shared" si="10"/>
        <v>-516.64583368910462</v>
      </c>
      <c r="G32" s="92">
        <f t="shared" ref="G32:H32" si="15">E32*0.9</f>
        <v>2234.0941234409493</v>
      </c>
      <c r="H32" s="93">
        <f t="shared" si="15"/>
        <v>-464.98125032019419</v>
      </c>
    </row>
    <row r="33" spans="4:8" x14ac:dyDescent="0.2">
      <c r="D33" s="91" t="s">
        <v>40</v>
      </c>
      <c r="E33" s="96">
        <f t="shared" si="9"/>
        <v>-2.3696509288129164E-7</v>
      </c>
      <c r="F33" s="95">
        <f t="shared" si="10"/>
        <v>-163.69262425644769</v>
      </c>
      <c r="G33" s="96">
        <f t="shared" ref="G33:H33" si="16">E33*0.9</f>
        <v>-2.1326858359316248E-7</v>
      </c>
      <c r="H33" s="93">
        <f t="shared" si="16"/>
        <v>-147.32336183080292</v>
      </c>
    </row>
    <row r="34" spans="4:8" x14ac:dyDescent="0.2">
      <c r="D34" s="97" t="s">
        <v>43</v>
      </c>
      <c r="E34" s="98">
        <f t="shared" si="9"/>
        <v>-1013.3521263419237</v>
      </c>
      <c r="F34" s="98">
        <f t="shared" si="10"/>
        <v>0</v>
      </c>
      <c r="G34" s="98">
        <f t="shared" ref="G34:H34" si="17">E34*0.9</f>
        <v>-912.01691370773142</v>
      </c>
      <c r="H34" s="99">
        <f t="shared" si="17"/>
        <v>0</v>
      </c>
    </row>
  </sheetData>
  <mergeCells count="17">
    <mergeCell ref="F4:G4"/>
    <mergeCell ref="A6:B6"/>
    <mergeCell ref="F14:G14"/>
    <mergeCell ref="A15:B15"/>
    <mergeCell ref="F15:G15"/>
    <mergeCell ref="F5:G5"/>
    <mergeCell ref="F6:G6"/>
    <mergeCell ref="F7:G7"/>
    <mergeCell ref="F10:H10"/>
    <mergeCell ref="F11:G11"/>
    <mergeCell ref="F12:G12"/>
    <mergeCell ref="F13:G13"/>
    <mergeCell ref="A1:D1"/>
    <mergeCell ref="A2:B2"/>
    <mergeCell ref="C2:D2"/>
    <mergeCell ref="F2:H2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5"/>
  <sheetViews>
    <sheetView workbookViewId="0"/>
  </sheetViews>
  <sheetFormatPr baseColWidth="10" defaultColWidth="12.5703125" defaultRowHeight="12.75" x14ac:dyDescent="0.2"/>
  <cols>
    <col min="10" max="10" width="16.7109375" customWidth="1"/>
    <col min="20" max="20" width="16.28515625" customWidth="1"/>
  </cols>
  <sheetData>
    <row r="1" spans="1:8" x14ac:dyDescent="0.2">
      <c r="A1" s="143" t="s">
        <v>0</v>
      </c>
      <c r="B1" s="144"/>
      <c r="C1" s="144"/>
      <c r="D1" s="144"/>
      <c r="E1" s="144"/>
      <c r="F1" s="144"/>
      <c r="G1" s="145"/>
    </row>
    <row r="2" spans="1:8" x14ac:dyDescent="0.2">
      <c r="A2" s="146" t="s">
        <v>1</v>
      </c>
      <c r="B2" s="145"/>
      <c r="C2" s="146" t="s">
        <v>2</v>
      </c>
      <c r="D2" s="152"/>
      <c r="E2" s="100" t="s">
        <v>95</v>
      </c>
      <c r="F2" s="101" t="s">
        <v>96</v>
      </c>
      <c r="G2" s="102" t="s">
        <v>8</v>
      </c>
    </row>
    <row r="3" spans="1:8" x14ac:dyDescent="0.2">
      <c r="A3" s="4" t="s">
        <v>3</v>
      </c>
      <c r="B3" s="5">
        <v>350</v>
      </c>
      <c r="C3" s="73" t="s">
        <v>4</v>
      </c>
      <c r="D3" s="74">
        <v>420</v>
      </c>
      <c r="E3" s="103" t="s">
        <v>97</v>
      </c>
      <c r="F3" s="104" t="s">
        <v>98</v>
      </c>
      <c r="G3" s="105">
        <v>350</v>
      </c>
    </row>
    <row r="4" spans="1:8" x14ac:dyDescent="0.2">
      <c r="A4" s="13" t="s">
        <v>6</v>
      </c>
      <c r="B4" s="14">
        <v>350</v>
      </c>
      <c r="C4" s="6" t="s">
        <v>7</v>
      </c>
      <c r="D4" s="7">
        <v>210</v>
      </c>
      <c r="E4" s="106" t="s">
        <v>99</v>
      </c>
      <c r="F4" s="107" t="s">
        <v>100</v>
      </c>
      <c r="G4" s="108">
        <v>5</v>
      </c>
    </row>
    <row r="5" spans="1:8" x14ac:dyDescent="0.2">
      <c r="A5" s="3" t="s">
        <v>9</v>
      </c>
      <c r="B5" s="19">
        <v>30</v>
      </c>
      <c r="C5" s="6" t="s">
        <v>10</v>
      </c>
      <c r="D5" s="20">
        <f>(D3)/(D4*1000)</f>
        <v>2E-3</v>
      </c>
    </row>
    <row r="6" spans="1:8" x14ac:dyDescent="0.2">
      <c r="A6" s="146" t="s">
        <v>12</v>
      </c>
      <c r="B6" s="145"/>
      <c r="C6" s="6" t="s">
        <v>13</v>
      </c>
      <c r="D6" s="7">
        <v>4</v>
      </c>
      <c r="F6" s="160" t="s">
        <v>51</v>
      </c>
      <c r="G6" s="144"/>
      <c r="H6" s="145"/>
    </row>
    <row r="7" spans="1:8" x14ac:dyDescent="0.2">
      <c r="A7" s="4" t="s">
        <v>15</v>
      </c>
      <c r="B7" s="25">
        <v>130</v>
      </c>
      <c r="C7" s="6" t="s">
        <v>16</v>
      </c>
      <c r="D7" s="7">
        <v>2</v>
      </c>
      <c r="F7" s="161" t="s">
        <v>82</v>
      </c>
      <c r="G7" s="162"/>
      <c r="H7" s="109">
        <f>SUMIF(H25:H94,"&gt;0",H25:H94)</f>
        <v>8833.1800531973095</v>
      </c>
    </row>
    <row r="8" spans="1:8" x14ac:dyDescent="0.2">
      <c r="A8" s="4" t="s">
        <v>87</v>
      </c>
      <c r="B8" s="77">
        <v>8.5</v>
      </c>
      <c r="C8" s="6" t="s">
        <v>19</v>
      </c>
      <c r="D8" s="7">
        <v>2</v>
      </c>
      <c r="F8" s="159" t="s">
        <v>83</v>
      </c>
      <c r="G8" s="149"/>
      <c r="H8" s="110">
        <f>SUMIF(H25:H94,"&lt;0",H25:H94)</f>
        <v>0</v>
      </c>
    </row>
    <row r="9" spans="1:8" x14ac:dyDescent="0.2">
      <c r="A9" s="13" t="s">
        <v>88</v>
      </c>
      <c r="B9" s="6">
        <f>9115*1*(B7)^0.33</f>
        <v>45431.594485129361</v>
      </c>
      <c r="C9" s="6" t="s">
        <v>22</v>
      </c>
      <c r="D9" s="7">
        <v>4</v>
      </c>
      <c r="F9" s="159" t="s">
        <v>84</v>
      </c>
      <c r="G9" s="149"/>
      <c r="H9" s="111">
        <f>SUM(R25:R28)</f>
        <v>699.77594057945066</v>
      </c>
    </row>
    <row r="10" spans="1:8" x14ac:dyDescent="0.2">
      <c r="A10" s="13" t="s">
        <v>89</v>
      </c>
      <c r="B10" s="78">
        <v>0.85</v>
      </c>
      <c r="C10" s="6" t="s">
        <v>27</v>
      </c>
      <c r="D10" s="7">
        <v>16</v>
      </c>
      <c r="F10" s="159" t="s">
        <v>85</v>
      </c>
      <c r="G10" s="149"/>
      <c r="H10" s="111">
        <f>H7+H8+H9</f>
        <v>9532.9559937767608</v>
      </c>
    </row>
    <row r="11" spans="1:8" x14ac:dyDescent="0.2">
      <c r="A11" s="3" t="s">
        <v>24</v>
      </c>
      <c r="B11" s="79">
        <v>3.5000000000000001E-3</v>
      </c>
      <c r="C11" s="6" t="s">
        <v>30</v>
      </c>
      <c r="D11" s="7">
        <v>16</v>
      </c>
      <c r="F11" s="159" t="s">
        <v>101</v>
      </c>
      <c r="G11" s="149"/>
      <c r="H11" s="112">
        <f>SUM(J25:J94)</f>
        <v>1987.5056428716621</v>
      </c>
    </row>
    <row r="12" spans="1:8" x14ac:dyDescent="0.2">
      <c r="A12" s="3" t="s">
        <v>91</v>
      </c>
      <c r="B12" s="79">
        <v>4.4999999999999997E-3</v>
      </c>
      <c r="C12" s="6" t="s">
        <v>33</v>
      </c>
      <c r="D12" s="7">
        <v>16</v>
      </c>
      <c r="F12" s="159" t="s">
        <v>102</v>
      </c>
      <c r="G12" s="149"/>
      <c r="H12" s="111">
        <f>SUM(T25:T28)</f>
        <v>157.47079196190913</v>
      </c>
    </row>
    <row r="13" spans="1:8" x14ac:dyDescent="0.2">
      <c r="A13" s="3" t="s">
        <v>92</v>
      </c>
      <c r="B13" s="80">
        <f>B10*B7/B9</f>
        <v>2.4322280838320297E-3</v>
      </c>
      <c r="C13" s="6" t="s">
        <v>36</v>
      </c>
      <c r="D13" s="7">
        <v>16</v>
      </c>
      <c r="F13" s="159" t="s">
        <v>103</v>
      </c>
      <c r="G13" s="149"/>
      <c r="H13" s="112">
        <f>H11+H12</f>
        <v>2144.9764348335711</v>
      </c>
    </row>
    <row r="14" spans="1:8" x14ac:dyDescent="0.2">
      <c r="A14" s="3" t="s">
        <v>93</v>
      </c>
      <c r="B14" s="81">
        <f>B8/B9</f>
        <v>1.8709446798707922E-4</v>
      </c>
      <c r="C14" s="6" t="s">
        <v>42</v>
      </c>
      <c r="D14" s="34">
        <f>B5+10+D10/2</f>
        <v>48</v>
      </c>
      <c r="F14" s="159" t="s">
        <v>86</v>
      </c>
      <c r="G14" s="149"/>
      <c r="H14" s="112">
        <f>H13+H10*($B$4/2-$G$3)/1000</f>
        <v>476.7091359226381</v>
      </c>
    </row>
    <row r="15" spans="1:8" x14ac:dyDescent="0.2">
      <c r="A15" s="146" t="s">
        <v>26</v>
      </c>
      <c r="B15" s="145"/>
      <c r="C15" s="33" t="s">
        <v>45</v>
      </c>
      <c r="D15" s="34">
        <f>D14+((D17-D14)/3)</f>
        <v>132.66666666666669</v>
      </c>
    </row>
    <row r="16" spans="1:8" x14ac:dyDescent="0.2">
      <c r="A16" s="73" t="s">
        <v>29</v>
      </c>
      <c r="B16" s="82">
        <f>B4*B3</f>
        <v>122500</v>
      </c>
      <c r="C16" s="6" t="s">
        <v>47</v>
      </c>
      <c r="D16" s="34">
        <f>D14+(2*(D17-D14)/3)</f>
        <v>217.33333333333334</v>
      </c>
    </row>
    <row r="17" spans="1:20" x14ac:dyDescent="0.2">
      <c r="A17" s="6" t="s">
        <v>32</v>
      </c>
      <c r="B17" s="33">
        <f t="shared" ref="B17:B20" si="0">(PI()/4)*(D10^2)*D6</f>
        <v>804.24771931898704</v>
      </c>
      <c r="C17" s="6" t="s">
        <v>48</v>
      </c>
      <c r="D17" s="34">
        <f>350-B5-10-D13/2</f>
        <v>302</v>
      </c>
    </row>
    <row r="18" spans="1:20" x14ac:dyDescent="0.2">
      <c r="A18" s="6" t="s">
        <v>35</v>
      </c>
      <c r="B18" s="33">
        <f t="shared" si="0"/>
        <v>402.12385965949352</v>
      </c>
    </row>
    <row r="19" spans="1:20" x14ac:dyDescent="0.2">
      <c r="A19" s="6" t="s">
        <v>38</v>
      </c>
      <c r="B19" s="33">
        <f t="shared" si="0"/>
        <v>402.12385965949352</v>
      </c>
    </row>
    <row r="20" spans="1:20" x14ac:dyDescent="0.2">
      <c r="A20" s="6" t="s">
        <v>41</v>
      </c>
      <c r="B20" s="33">
        <f t="shared" si="0"/>
        <v>804.24771931898704</v>
      </c>
    </row>
    <row r="21" spans="1:20" x14ac:dyDescent="0.2">
      <c r="A21" s="6" t="s">
        <v>46</v>
      </c>
      <c r="B21" s="33">
        <f>B17+B18+B19+B20</f>
        <v>2412.7431579569611</v>
      </c>
    </row>
    <row r="24" spans="1:20" x14ac:dyDescent="0.2">
      <c r="A24" s="106" t="s">
        <v>104</v>
      </c>
      <c r="B24" s="106" t="s">
        <v>100</v>
      </c>
      <c r="C24" s="106" t="s">
        <v>105</v>
      </c>
      <c r="D24" s="106" t="s">
        <v>106</v>
      </c>
      <c r="E24" s="106" t="s">
        <v>107</v>
      </c>
      <c r="F24" s="106" t="s">
        <v>108</v>
      </c>
      <c r="G24" s="106" t="s">
        <v>109</v>
      </c>
      <c r="H24" s="106" t="s">
        <v>110</v>
      </c>
      <c r="I24" s="106" t="s">
        <v>111</v>
      </c>
      <c r="J24" s="106" t="s">
        <v>101</v>
      </c>
      <c r="L24" s="113" t="s">
        <v>112</v>
      </c>
      <c r="M24" s="114" t="s">
        <v>113</v>
      </c>
      <c r="N24" s="114" t="s">
        <v>114</v>
      </c>
      <c r="O24" s="114" t="s">
        <v>65</v>
      </c>
      <c r="P24" s="114" t="s">
        <v>115</v>
      </c>
      <c r="Q24" s="114" t="s">
        <v>116</v>
      </c>
      <c r="R24" s="114" t="s">
        <v>117</v>
      </c>
      <c r="S24" s="114" t="s">
        <v>118</v>
      </c>
      <c r="T24" s="115" t="s">
        <v>102</v>
      </c>
    </row>
    <row r="25" spans="1:20" x14ac:dyDescent="0.2">
      <c r="A25" s="116">
        <f t="shared" ref="A25:A94" si="1">ROW()-24</f>
        <v>1</v>
      </c>
      <c r="B25" s="116">
        <f t="shared" ref="B25:B94" si="2">$G$4</f>
        <v>5</v>
      </c>
      <c r="C25" s="116">
        <f t="shared" ref="C25:C94" si="3">(A25-0.5)*$G$4</f>
        <v>2.5</v>
      </c>
      <c r="D25" s="117">
        <f t="shared" ref="D25:D94" si="4">$B$11*($G$3-C25)/$G$3</f>
        <v>3.4750000000000002E-3</v>
      </c>
      <c r="E25" s="118">
        <f t="shared" ref="E25:E94" si="5">IF(D25&gt;=0,MIN($B$9*D25,$B$10*$B$7),0)</f>
        <v>110.5</v>
      </c>
      <c r="F25" s="116">
        <f t="shared" ref="F25:F94" si="6">IF(D25&lt;0,IF(ABS(D25)&lt;=$B$12,-MIN($B$9*ABS(D25),$B$8),0),0)</f>
        <v>0</v>
      </c>
      <c r="G25" s="118">
        <f t="shared" ref="G25:G94" si="7">E25+F25</f>
        <v>110.5</v>
      </c>
      <c r="H25" s="116">
        <f t="shared" ref="H25:H94" si="8">G25*$B$3*B25/1000</f>
        <v>193.375</v>
      </c>
      <c r="I25" s="119">
        <f t="shared" ref="I25:I94" si="9">$G$3-C25</f>
        <v>347.5</v>
      </c>
      <c r="J25" s="119">
        <f t="shared" ref="J25:J94" si="10">H25*I25/1000</f>
        <v>67.197812499999998</v>
      </c>
      <c r="L25" s="120">
        <f>1</f>
        <v>1</v>
      </c>
      <c r="M25" s="121">
        <f t="shared" ref="M25:M28" si="11">D6</f>
        <v>4</v>
      </c>
      <c r="N25" s="122">
        <f t="shared" ref="N25:N28" si="12">B17</f>
        <v>804.24771931898704</v>
      </c>
      <c r="O25" s="123">
        <f t="shared" ref="O25:O28" si="13">D14</f>
        <v>48</v>
      </c>
      <c r="P25" s="124">
        <f t="shared" ref="P25:P28" si="14">$B$11*($G$3-O25)/$G$3</f>
        <v>3.0199999999999997E-3</v>
      </c>
      <c r="Q25" s="121">
        <f t="shared" ref="Q25:Q28" si="15">MAX(-$D$3,MIN($D$3,$D$4*1000*P25))</f>
        <v>420</v>
      </c>
      <c r="R25" s="122">
        <f t="shared" ref="R25:R28" si="16">Q25*N25/1000</f>
        <v>337.78404211397458</v>
      </c>
      <c r="S25" s="123">
        <f t="shared" ref="S25:S28" si="17">$G$3-O25</f>
        <v>302</v>
      </c>
      <c r="T25" s="122">
        <f t="shared" ref="T25:T28" si="18">R25*S25/1000</f>
        <v>102.01078071842032</v>
      </c>
    </row>
    <row r="26" spans="1:20" x14ac:dyDescent="0.2">
      <c r="A26" s="120">
        <f t="shared" si="1"/>
        <v>2</v>
      </c>
      <c r="B26" s="120">
        <f t="shared" si="2"/>
        <v>5</v>
      </c>
      <c r="C26" s="120">
        <f t="shared" si="3"/>
        <v>7.5</v>
      </c>
      <c r="D26" s="124">
        <f t="shared" si="4"/>
        <v>3.4250000000000001E-3</v>
      </c>
      <c r="E26" s="122">
        <f t="shared" si="5"/>
        <v>110.5</v>
      </c>
      <c r="F26" s="120">
        <f t="shared" si="6"/>
        <v>0</v>
      </c>
      <c r="G26" s="122">
        <f t="shared" si="7"/>
        <v>110.5</v>
      </c>
      <c r="H26" s="120">
        <f t="shared" si="8"/>
        <v>193.375</v>
      </c>
      <c r="I26" s="125">
        <f t="shared" si="9"/>
        <v>342.5</v>
      </c>
      <c r="J26" s="125">
        <f t="shared" si="10"/>
        <v>66.230937499999996</v>
      </c>
      <c r="L26" s="120">
        <f>2</f>
        <v>2</v>
      </c>
      <c r="M26" s="121">
        <f t="shared" si="11"/>
        <v>2</v>
      </c>
      <c r="N26" s="122">
        <f t="shared" si="12"/>
        <v>402.12385965949352</v>
      </c>
      <c r="O26" s="123">
        <f t="shared" si="13"/>
        <v>132.66666666666669</v>
      </c>
      <c r="P26" s="126">
        <f t="shared" si="14"/>
        <v>2.1733333333333331E-3</v>
      </c>
      <c r="Q26" s="121">
        <f t="shared" si="15"/>
        <v>420</v>
      </c>
      <c r="R26" s="122">
        <f t="shared" si="16"/>
        <v>168.89202105698729</v>
      </c>
      <c r="S26" s="123">
        <f t="shared" si="17"/>
        <v>217.33333333333331</v>
      </c>
      <c r="T26" s="122">
        <f t="shared" si="18"/>
        <v>36.705865909718568</v>
      </c>
    </row>
    <row r="27" spans="1:20" x14ac:dyDescent="0.2">
      <c r="A27" s="120">
        <f t="shared" si="1"/>
        <v>3</v>
      </c>
      <c r="B27" s="120">
        <f t="shared" si="2"/>
        <v>5</v>
      </c>
      <c r="C27" s="120">
        <f t="shared" si="3"/>
        <v>12.5</v>
      </c>
      <c r="D27" s="124">
        <f t="shared" si="4"/>
        <v>3.3750000000000004E-3</v>
      </c>
      <c r="E27" s="122">
        <f t="shared" si="5"/>
        <v>110.5</v>
      </c>
      <c r="F27" s="120">
        <f t="shared" si="6"/>
        <v>0</v>
      </c>
      <c r="G27" s="122">
        <f t="shared" si="7"/>
        <v>110.5</v>
      </c>
      <c r="H27" s="120">
        <f t="shared" si="8"/>
        <v>193.375</v>
      </c>
      <c r="I27" s="125">
        <f t="shared" si="9"/>
        <v>337.5</v>
      </c>
      <c r="J27" s="125">
        <f t="shared" si="10"/>
        <v>65.264062499999994</v>
      </c>
      <c r="L27" s="120">
        <v>3</v>
      </c>
      <c r="M27" s="121">
        <f t="shared" si="11"/>
        <v>2</v>
      </c>
      <c r="N27" s="122">
        <f t="shared" si="12"/>
        <v>402.12385965949352</v>
      </c>
      <c r="O27" s="123">
        <f t="shared" si="13"/>
        <v>217.33333333333334</v>
      </c>
      <c r="P27" s="126">
        <f t="shared" si="14"/>
        <v>1.3266666666666665E-3</v>
      </c>
      <c r="Q27" s="121">
        <f t="shared" si="15"/>
        <v>278.59999999999997</v>
      </c>
      <c r="R27" s="122">
        <f t="shared" si="16"/>
        <v>112.03170730113489</v>
      </c>
      <c r="S27" s="123">
        <f t="shared" si="17"/>
        <v>132.66666666666666</v>
      </c>
      <c r="T27" s="122">
        <f t="shared" si="18"/>
        <v>14.862873168617227</v>
      </c>
    </row>
    <row r="28" spans="1:20" x14ac:dyDescent="0.2">
      <c r="A28" s="120">
        <f t="shared" si="1"/>
        <v>4</v>
      </c>
      <c r="B28" s="120">
        <f t="shared" si="2"/>
        <v>5</v>
      </c>
      <c r="C28" s="120">
        <f t="shared" si="3"/>
        <v>17.5</v>
      </c>
      <c r="D28" s="124">
        <f t="shared" si="4"/>
        <v>3.3250000000000003E-3</v>
      </c>
      <c r="E28" s="122">
        <f t="shared" si="5"/>
        <v>110.5</v>
      </c>
      <c r="F28" s="120">
        <f t="shared" si="6"/>
        <v>0</v>
      </c>
      <c r="G28" s="122">
        <f t="shared" si="7"/>
        <v>110.5</v>
      </c>
      <c r="H28" s="120">
        <f t="shared" si="8"/>
        <v>193.375</v>
      </c>
      <c r="I28" s="125">
        <f t="shared" si="9"/>
        <v>332.5</v>
      </c>
      <c r="J28" s="125">
        <f t="shared" si="10"/>
        <v>64.297187500000007</v>
      </c>
      <c r="L28" s="103">
        <v>4</v>
      </c>
      <c r="M28" s="127">
        <f t="shared" si="11"/>
        <v>4</v>
      </c>
      <c r="N28" s="128">
        <f t="shared" si="12"/>
        <v>804.24771931898704</v>
      </c>
      <c r="O28" s="129">
        <f t="shared" si="13"/>
        <v>302</v>
      </c>
      <c r="P28" s="103">
        <f t="shared" si="14"/>
        <v>4.8000000000000001E-4</v>
      </c>
      <c r="Q28" s="127">
        <f t="shared" si="15"/>
        <v>100.8</v>
      </c>
      <c r="R28" s="128">
        <f t="shared" si="16"/>
        <v>81.068170107353893</v>
      </c>
      <c r="S28" s="129">
        <f t="shared" si="17"/>
        <v>48</v>
      </c>
      <c r="T28" s="128">
        <f t="shared" si="18"/>
        <v>3.8912721651529867</v>
      </c>
    </row>
    <row r="29" spans="1:20" x14ac:dyDescent="0.2">
      <c r="A29" s="120">
        <f t="shared" si="1"/>
        <v>5</v>
      </c>
      <c r="B29" s="120">
        <f t="shared" si="2"/>
        <v>5</v>
      </c>
      <c r="C29" s="120">
        <f t="shared" si="3"/>
        <v>22.5</v>
      </c>
      <c r="D29" s="124">
        <f t="shared" si="4"/>
        <v>3.2750000000000001E-3</v>
      </c>
      <c r="E29" s="122">
        <f t="shared" si="5"/>
        <v>110.5</v>
      </c>
      <c r="F29" s="120">
        <f t="shared" si="6"/>
        <v>0</v>
      </c>
      <c r="G29" s="122">
        <f t="shared" si="7"/>
        <v>110.5</v>
      </c>
      <c r="H29" s="120">
        <f t="shared" si="8"/>
        <v>193.375</v>
      </c>
      <c r="I29" s="125">
        <f t="shared" si="9"/>
        <v>327.5</v>
      </c>
      <c r="J29" s="125">
        <f t="shared" si="10"/>
        <v>63.330312499999998</v>
      </c>
      <c r="R29" s="130"/>
    </row>
    <row r="30" spans="1:20" x14ac:dyDescent="0.2">
      <c r="A30" s="120">
        <f t="shared" si="1"/>
        <v>6</v>
      </c>
      <c r="B30" s="120">
        <f t="shared" si="2"/>
        <v>5</v>
      </c>
      <c r="C30" s="120">
        <f t="shared" si="3"/>
        <v>27.5</v>
      </c>
      <c r="D30" s="124">
        <f t="shared" si="4"/>
        <v>3.2249999999999996E-3</v>
      </c>
      <c r="E30" s="122">
        <f t="shared" si="5"/>
        <v>110.5</v>
      </c>
      <c r="F30" s="120">
        <f t="shared" si="6"/>
        <v>0</v>
      </c>
      <c r="G30" s="122">
        <f t="shared" si="7"/>
        <v>110.5</v>
      </c>
      <c r="H30" s="120">
        <f t="shared" si="8"/>
        <v>193.375</v>
      </c>
      <c r="I30" s="125">
        <f t="shared" si="9"/>
        <v>322.5</v>
      </c>
      <c r="J30" s="125">
        <f t="shared" si="10"/>
        <v>62.363437500000003</v>
      </c>
    </row>
    <row r="31" spans="1:20" x14ac:dyDescent="0.2">
      <c r="A31" s="120">
        <f t="shared" si="1"/>
        <v>7</v>
      </c>
      <c r="B31" s="120">
        <f t="shared" si="2"/>
        <v>5</v>
      </c>
      <c r="C31" s="120">
        <f t="shared" si="3"/>
        <v>32.5</v>
      </c>
      <c r="D31" s="124">
        <f t="shared" si="4"/>
        <v>3.1750000000000003E-3</v>
      </c>
      <c r="E31" s="122">
        <f t="shared" si="5"/>
        <v>110.5</v>
      </c>
      <c r="F31" s="120">
        <f t="shared" si="6"/>
        <v>0</v>
      </c>
      <c r="G31" s="122">
        <f t="shared" si="7"/>
        <v>110.5</v>
      </c>
      <c r="H31" s="120">
        <f t="shared" si="8"/>
        <v>193.375</v>
      </c>
      <c r="I31" s="125">
        <f t="shared" si="9"/>
        <v>317.5</v>
      </c>
      <c r="J31" s="125">
        <f t="shared" si="10"/>
        <v>61.396562500000002</v>
      </c>
    </row>
    <row r="32" spans="1:20" x14ac:dyDescent="0.2">
      <c r="A32" s="120">
        <f t="shared" si="1"/>
        <v>8</v>
      </c>
      <c r="B32" s="120">
        <f t="shared" si="2"/>
        <v>5</v>
      </c>
      <c r="C32" s="120">
        <f t="shared" si="3"/>
        <v>37.5</v>
      </c>
      <c r="D32" s="124">
        <f t="shared" si="4"/>
        <v>3.1250000000000002E-3</v>
      </c>
      <c r="E32" s="122">
        <f t="shared" si="5"/>
        <v>110.5</v>
      </c>
      <c r="F32" s="120">
        <f t="shared" si="6"/>
        <v>0</v>
      </c>
      <c r="G32" s="122">
        <f t="shared" si="7"/>
        <v>110.5</v>
      </c>
      <c r="H32" s="120">
        <f t="shared" si="8"/>
        <v>193.375</v>
      </c>
      <c r="I32" s="125">
        <f t="shared" si="9"/>
        <v>312.5</v>
      </c>
      <c r="J32" s="125">
        <f t="shared" si="10"/>
        <v>60.4296875</v>
      </c>
    </row>
    <row r="33" spans="1:19" x14ac:dyDescent="0.2">
      <c r="A33" s="120">
        <f t="shared" si="1"/>
        <v>9</v>
      </c>
      <c r="B33" s="120">
        <f t="shared" si="2"/>
        <v>5</v>
      </c>
      <c r="C33" s="120">
        <f t="shared" si="3"/>
        <v>42.5</v>
      </c>
      <c r="D33" s="124">
        <f t="shared" si="4"/>
        <v>3.0749999999999996E-3</v>
      </c>
      <c r="E33" s="122">
        <f t="shared" si="5"/>
        <v>110.5</v>
      </c>
      <c r="F33" s="120">
        <f t="shared" si="6"/>
        <v>0</v>
      </c>
      <c r="G33" s="122">
        <f t="shared" si="7"/>
        <v>110.5</v>
      </c>
      <c r="H33" s="120">
        <f t="shared" si="8"/>
        <v>193.375</v>
      </c>
      <c r="I33" s="125">
        <f t="shared" si="9"/>
        <v>307.5</v>
      </c>
      <c r="J33" s="125">
        <f t="shared" si="10"/>
        <v>59.462812499999998</v>
      </c>
    </row>
    <row r="34" spans="1:19" x14ac:dyDescent="0.2">
      <c r="A34" s="120">
        <f t="shared" si="1"/>
        <v>10</v>
      </c>
      <c r="B34" s="120">
        <f t="shared" si="2"/>
        <v>5</v>
      </c>
      <c r="C34" s="120">
        <f t="shared" si="3"/>
        <v>47.5</v>
      </c>
      <c r="D34" s="124">
        <f t="shared" si="4"/>
        <v>3.0250000000000003E-3</v>
      </c>
      <c r="E34" s="122">
        <f t="shared" si="5"/>
        <v>110.5</v>
      </c>
      <c r="F34" s="120">
        <f t="shared" si="6"/>
        <v>0</v>
      </c>
      <c r="G34" s="122">
        <f t="shared" si="7"/>
        <v>110.5</v>
      </c>
      <c r="H34" s="120">
        <f t="shared" si="8"/>
        <v>193.375</v>
      </c>
      <c r="I34" s="125">
        <f t="shared" si="9"/>
        <v>302.5</v>
      </c>
      <c r="J34" s="125">
        <f t="shared" si="10"/>
        <v>58.495937499999997</v>
      </c>
      <c r="M34" s="131"/>
      <c r="N34" s="130"/>
      <c r="O34" s="132"/>
      <c r="Q34" s="131"/>
      <c r="S34" s="132"/>
    </row>
    <row r="35" spans="1:19" x14ac:dyDescent="0.2">
      <c r="A35" s="120">
        <f t="shared" si="1"/>
        <v>11</v>
      </c>
      <c r="B35" s="120">
        <f t="shared" si="2"/>
        <v>5</v>
      </c>
      <c r="C35" s="120">
        <f t="shared" si="3"/>
        <v>52.5</v>
      </c>
      <c r="D35" s="124">
        <f t="shared" si="4"/>
        <v>2.9750000000000002E-3</v>
      </c>
      <c r="E35" s="122">
        <f t="shared" si="5"/>
        <v>110.5</v>
      </c>
      <c r="F35" s="120">
        <f t="shared" si="6"/>
        <v>0</v>
      </c>
      <c r="G35" s="122">
        <f t="shared" si="7"/>
        <v>110.5</v>
      </c>
      <c r="H35" s="122">
        <f t="shared" si="8"/>
        <v>193.375</v>
      </c>
      <c r="I35" s="125">
        <f t="shared" si="9"/>
        <v>297.5</v>
      </c>
      <c r="J35" s="125">
        <f t="shared" si="10"/>
        <v>57.529062500000002</v>
      </c>
    </row>
    <row r="36" spans="1:19" x14ac:dyDescent="0.2">
      <c r="A36" s="120">
        <f t="shared" si="1"/>
        <v>12</v>
      </c>
      <c r="B36" s="120">
        <f t="shared" si="2"/>
        <v>5</v>
      </c>
      <c r="C36" s="120">
        <f t="shared" si="3"/>
        <v>57.5</v>
      </c>
      <c r="D36" s="124">
        <f t="shared" si="4"/>
        <v>2.9249999999999996E-3</v>
      </c>
      <c r="E36" s="122">
        <f t="shared" si="5"/>
        <v>110.5</v>
      </c>
      <c r="F36" s="120">
        <f t="shared" si="6"/>
        <v>0</v>
      </c>
      <c r="G36" s="122">
        <f t="shared" si="7"/>
        <v>110.5</v>
      </c>
      <c r="H36" s="122">
        <f t="shared" si="8"/>
        <v>193.375</v>
      </c>
      <c r="I36" s="125">
        <f t="shared" si="9"/>
        <v>292.5</v>
      </c>
      <c r="J36" s="125">
        <f t="shared" si="10"/>
        <v>56.5621875</v>
      </c>
    </row>
    <row r="37" spans="1:19" x14ac:dyDescent="0.2">
      <c r="A37" s="120">
        <f t="shared" si="1"/>
        <v>13</v>
      </c>
      <c r="B37" s="120">
        <f t="shared" si="2"/>
        <v>5</v>
      </c>
      <c r="C37" s="120">
        <f t="shared" si="3"/>
        <v>62.5</v>
      </c>
      <c r="D37" s="124">
        <f t="shared" si="4"/>
        <v>2.8750000000000004E-3</v>
      </c>
      <c r="E37" s="122">
        <f t="shared" si="5"/>
        <v>110.5</v>
      </c>
      <c r="F37" s="120">
        <f t="shared" si="6"/>
        <v>0</v>
      </c>
      <c r="G37" s="122">
        <f t="shared" si="7"/>
        <v>110.5</v>
      </c>
      <c r="H37" s="122">
        <f t="shared" si="8"/>
        <v>193.375</v>
      </c>
      <c r="I37" s="125">
        <f t="shared" si="9"/>
        <v>287.5</v>
      </c>
      <c r="J37" s="125">
        <f t="shared" si="10"/>
        <v>55.595312499999999</v>
      </c>
    </row>
    <row r="38" spans="1:19" x14ac:dyDescent="0.2">
      <c r="A38" s="120">
        <f t="shared" si="1"/>
        <v>14</v>
      </c>
      <c r="B38" s="120">
        <f t="shared" si="2"/>
        <v>5</v>
      </c>
      <c r="C38" s="120">
        <f t="shared" si="3"/>
        <v>67.5</v>
      </c>
      <c r="D38" s="124">
        <f t="shared" si="4"/>
        <v>2.8250000000000003E-3</v>
      </c>
      <c r="E38" s="122">
        <f t="shared" si="5"/>
        <v>110.5</v>
      </c>
      <c r="F38" s="120">
        <f t="shared" si="6"/>
        <v>0</v>
      </c>
      <c r="G38" s="122">
        <f t="shared" si="7"/>
        <v>110.5</v>
      </c>
      <c r="H38" s="122">
        <f t="shared" si="8"/>
        <v>193.375</v>
      </c>
      <c r="I38" s="125">
        <f t="shared" si="9"/>
        <v>282.5</v>
      </c>
      <c r="J38" s="125">
        <f t="shared" si="10"/>
        <v>54.628437499999997</v>
      </c>
    </row>
    <row r="39" spans="1:19" x14ac:dyDescent="0.2">
      <c r="A39" s="120">
        <f t="shared" si="1"/>
        <v>15</v>
      </c>
      <c r="B39" s="120">
        <f t="shared" si="2"/>
        <v>5</v>
      </c>
      <c r="C39" s="120">
        <f t="shared" si="3"/>
        <v>72.5</v>
      </c>
      <c r="D39" s="124">
        <f t="shared" si="4"/>
        <v>2.7750000000000001E-3</v>
      </c>
      <c r="E39" s="122">
        <f t="shared" si="5"/>
        <v>110.5</v>
      </c>
      <c r="F39" s="120">
        <f t="shared" si="6"/>
        <v>0</v>
      </c>
      <c r="G39" s="122">
        <f t="shared" si="7"/>
        <v>110.5</v>
      </c>
      <c r="H39" s="122">
        <f t="shared" si="8"/>
        <v>193.375</v>
      </c>
      <c r="I39" s="125">
        <f t="shared" si="9"/>
        <v>277.5</v>
      </c>
      <c r="J39" s="125">
        <f t="shared" si="10"/>
        <v>53.661562500000002</v>
      </c>
    </row>
    <row r="40" spans="1:19" x14ac:dyDescent="0.2">
      <c r="A40" s="120">
        <f t="shared" si="1"/>
        <v>16</v>
      </c>
      <c r="B40" s="120">
        <f t="shared" si="2"/>
        <v>5</v>
      </c>
      <c r="C40" s="120">
        <f t="shared" si="3"/>
        <v>77.5</v>
      </c>
      <c r="D40" s="124">
        <f t="shared" si="4"/>
        <v>2.725E-3</v>
      </c>
      <c r="E40" s="122">
        <f t="shared" si="5"/>
        <v>110.5</v>
      </c>
      <c r="F40" s="120">
        <f t="shared" si="6"/>
        <v>0</v>
      </c>
      <c r="G40" s="122">
        <f t="shared" si="7"/>
        <v>110.5</v>
      </c>
      <c r="H40" s="122">
        <f t="shared" si="8"/>
        <v>193.375</v>
      </c>
      <c r="I40" s="125">
        <f t="shared" si="9"/>
        <v>272.5</v>
      </c>
      <c r="J40" s="125">
        <f t="shared" si="10"/>
        <v>52.694687500000001</v>
      </c>
    </row>
    <row r="41" spans="1:19" x14ac:dyDescent="0.2">
      <c r="A41" s="120">
        <f t="shared" si="1"/>
        <v>17</v>
      </c>
      <c r="B41" s="120">
        <f t="shared" si="2"/>
        <v>5</v>
      </c>
      <c r="C41" s="120">
        <f t="shared" si="3"/>
        <v>82.5</v>
      </c>
      <c r="D41" s="124">
        <f t="shared" si="4"/>
        <v>2.6749999999999999E-3</v>
      </c>
      <c r="E41" s="122">
        <f t="shared" si="5"/>
        <v>110.5</v>
      </c>
      <c r="F41" s="120">
        <f t="shared" si="6"/>
        <v>0</v>
      </c>
      <c r="G41" s="122">
        <f t="shared" si="7"/>
        <v>110.5</v>
      </c>
      <c r="H41" s="122">
        <f t="shared" si="8"/>
        <v>193.375</v>
      </c>
      <c r="I41" s="125">
        <f t="shared" si="9"/>
        <v>267.5</v>
      </c>
      <c r="J41" s="125">
        <f t="shared" si="10"/>
        <v>51.727812499999999</v>
      </c>
    </row>
    <row r="42" spans="1:19" x14ac:dyDescent="0.2">
      <c r="A42" s="120">
        <f t="shared" si="1"/>
        <v>18</v>
      </c>
      <c r="B42" s="120">
        <f t="shared" si="2"/>
        <v>5</v>
      </c>
      <c r="C42" s="120">
        <f t="shared" si="3"/>
        <v>87.5</v>
      </c>
      <c r="D42" s="124">
        <f t="shared" si="4"/>
        <v>2.6250000000000002E-3</v>
      </c>
      <c r="E42" s="122">
        <f t="shared" si="5"/>
        <v>110.5</v>
      </c>
      <c r="F42" s="120">
        <f t="shared" si="6"/>
        <v>0</v>
      </c>
      <c r="G42" s="122">
        <f t="shared" si="7"/>
        <v>110.5</v>
      </c>
      <c r="H42" s="122">
        <f t="shared" si="8"/>
        <v>193.375</v>
      </c>
      <c r="I42" s="125">
        <f t="shared" si="9"/>
        <v>262.5</v>
      </c>
      <c r="J42" s="125">
        <f t="shared" si="10"/>
        <v>50.760937499999997</v>
      </c>
    </row>
    <row r="43" spans="1:19" x14ac:dyDescent="0.2">
      <c r="A43" s="120">
        <f t="shared" si="1"/>
        <v>19</v>
      </c>
      <c r="B43" s="120">
        <f t="shared" si="2"/>
        <v>5</v>
      </c>
      <c r="C43" s="120">
        <f t="shared" si="3"/>
        <v>92.5</v>
      </c>
      <c r="D43" s="124">
        <f t="shared" si="4"/>
        <v>2.575E-3</v>
      </c>
      <c r="E43" s="122">
        <f t="shared" si="5"/>
        <v>110.5</v>
      </c>
      <c r="F43" s="120">
        <f t="shared" si="6"/>
        <v>0</v>
      </c>
      <c r="G43" s="122">
        <f t="shared" si="7"/>
        <v>110.5</v>
      </c>
      <c r="H43" s="122">
        <f t="shared" si="8"/>
        <v>193.375</v>
      </c>
      <c r="I43" s="125">
        <f t="shared" si="9"/>
        <v>257.5</v>
      </c>
      <c r="J43" s="125">
        <f t="shared" si="10"/>
        <v>49.794062500000003</v>
      </c>
    </row>
    <row r="44" spans="1:19" x14ac:dyDescent="0.2">
      <c r="A44" s="120">
        <f t="shared" si="1"/>
        <v>20</v>
      </c>
      <c r="B44" s="120">
        <f t="shared" si="2"/>
        <v>5</v>
      </c>
      <c r="C44" s="120">
        <f t="shared" si="3"/>
        <v>97.5</v>
      </c>
      <c r="D44" s="124">
        <f t="shared" si="4"/>
        <v>2.5249999999999999E-3</v>
      </c>
      <c r="E44" s="122">
        <f t="shared" si="5"/>
        <v>110.5</v>
      </c>
      <c r="F44" s="120">
        <f t="shared" si="6"/>
        <v>0</v>
      </c>
      <c r="G44" s="122">
        <f t="shared" si="7"/>
        <v>110.5</v>
      </c>
      <c r="H44" s="122">
        <f t="shared" si="8"/>
        <v>193.375</v>
      </c>
      <c r="I44" s="125">
        <f t="shared" si="9"/>
        <v>252.5</v>
      </c>
      <c r="J44" s="125">
        <f t="shared" si="10"/>
        <v>48.827187500000001</v>
      </c>
    </row>
    <row r="45" spans="1:19" x14ac:dyDescent="0.2">
      <c r="A45" s="120">
        <f t="shared" si="1"/>
        <v>21</v>
      </c>
      <c r="B45" s="120">
        <f t="shared" si="2"/>
        <v>5</v>
      </c>
      <c r="C45" s="120">
        <f t="shared" si="3"/>
        <v>102.5</v>
      </c>
      <c r="D45" s="124">
        <f t="shared" si="4"/>
        <v>2.4749999999999998E-3</v>
      </c>
      <c r="E45" s="122">
        <f t="shared" si="5"/>
        <v>110.5</v>
      </c>
      <c r="F45" s="120">
        <f t="shared" si="6"/>
        <v>0</v>
      </c>
      <c r="G45" s="122">
        <f t="shared" si="7"/>
        <v>110.5</v>
      </c>
      <c r="H45" s="122">
        <f t="shared" si="8"/>
        <v>193.375</v>
      </c>
      <c r="I45" s="125">
        <f t="shared" si="9"/>
        <v>247.5</v>
      </c>
      <c r="J45" s="125">
        <f t="shared" si="10"/>
        <v>47.860312499999999</v>
      </c>
    </row>
    <row r="46" spans="1:19" x14ac:dyDescent="0.2">
      <c r="A46" s="120">
        <f t="shared" si="1"/>
        <v>22</v>
      </c>
      <c r="B46" s="120">
        <f t="shared" si="2"/>
        <v>5</v>
      </c>
      <c r="C46" s="120">
        <f t="shared" si="3"/>
        <v>107.5</v>
      </c>
      <c r="D46" s="124">
        <f t="shared" si="4"/>
        <v>2.4250000000000001E-3</v>
      </c>
      <c r="E46" s="122">
        <f t="shared" si="5"/>
        <v>110.17161662643871</v>
      </c>
      <c r="F46" s="120">
        <f t="shared" si="6"/>
        <v>0</v>
      </c>
      <c r="G46" s="122">
        <f t="shared" si="7"/>
        <v>110.17161662643871</v>
      </c>
      <c r="H46" s="122">
        <f t="shared" si="8"/>
        <v>192.80032909626775</v>
      </c>
      <c r="I46" s="125">
        <f t="shared" si="9"/>
        <v>242.5</v>
      </c>
      <c r="J46" s="125">
        <f t="shared" si="10"/>
        <v>46.754079805844931</v>
      </c>
    </row>
    <row r="47" spans="1:19" x14ac:dyDescent="0.2">
      <c r="A47" s="120">
        <f t="shared" si="1"/>
        <v>23</v>
      </c>
      <c r="B47" s="120">
        <f t="shared" si="2"/>
        <v>5</v>
      </c>
      <c r="C47" s="120">
        <f t="shared" si="3"/>
        <v>112.5</v>
      </c>
      <c r="D47" s="124">
        <f t="shared" si="4"/>
        <v>2.3749999999999999E-3</v>
      </c>
      <c r="E47" s="122">
        <f t="shared" si="5"/>
        <v>107.90003690218222</v>
      </c>
      <c r="F47" s="120">
        <f t="shared" si="6"/>
        <v>0</v>
      </c>
      <c r="G47" s="122">
        <f t="shared" si="7"/>
        <v>107.90003690218222</v>
      </c>
      <c r="H47" s="122">
        <f t="shared" si="8"/>
        <v>188.82506457881888</v>
      </c>
      <c r="I47" s="125">
        <f t="shared" si="9"/>
        <v>237.5</v>
      </c>
      <c r="J47" s="125">
        <f t="shared" si="10"/>
        <v>44.845952837469483</v>
      </c>
    </row>
    <row r="48" spans="1:19" x14ac:dyDescent="0.2">
      <c r="A48" s="120">
        <f t="shared" si="1"/>
        <v>24</v>
      </c>
      <c r="B48" s="120">
        <f t="shared" si="2"/>
        <v>5</v>
      </c>
      <c r="C48" s="120">
        <f t="shared" si="3"/>
        <v>117.5</v>
      </c>
      <c r="D48" s="124">
        <f t="shared" si="4"/>
        <v>2.3249999999999998E-3</v>
      </c>
      <c r="E48" s="122">
        <f t="shared" si="5"/>
        <v>105.62845717792575</v>
      </c>
      <c r="F48" s="120">
        <f t="shared" si="6"/>
        <v>0</v>
      </c>
      <c r="G48" s="122">
        <f t="shared" si="7"/>
        <v>105.62845717792575</v>
      </c>
      <c r="H48" s="122">
        <f t="shared" si="8"/>
        <v>184.84980006137008</v>
      </c>
      <c r="I48" s="125">
        <f t="shared" si="9"/>
        <v>232.5</v>
      </c>
      <c r="J48" s="125">
        <f t="shared" si="10"/>
        <v>42.977578514268544</v>
      </c>
    </row>
    <row r="49" spans="1:10" x14ac:dyDescent="0.2">
      <c r="A49" s="120">
        <f t="shared" si="1"/>
        <v>25</v>
      </c>
      <c r="B49" s="120">
        <f t="shared" si="2"/>
        <v>5</v>
      </c>
      <c r="C49" s="120">
        <f t="shared" si="3"/>
        <v>122.5</v>
      </c>
      <c r="D49" s="124">
        <f t="shared" si="4"/>
        <v>2.2750000000000001E-3</v>
      </c>
      <c r="E49" s="122">
        <f t="shared" si="5"/>
        <v>103.3568774536693</v>
      </c>
      <c r="F49" s="120">
        <f t="shared" si="6"/>
        <v>0</v>
      </c>
      <c r="G49" s="122">
        <f t="shared" si="7"/>
        <v>103.3568774536693</v>
      </c>
      <c r="H49" s="122">
        <f t="shared" si="8"/>
        <v>180.87453554392127</v>
      </c>
      <c r="I49" s="125">
        <f t="shared" si="9"/>
        <v>227.5</v>
      </c>
      <c r="J49" s="125">
        <f t="shared" si="10"/>
        <v>41.148956836242093</v>
      </c>
    </row>
    <row r="50" spans="1:10" x14ac:dyDescent="0.2">
      <c r="A50" s="120">
        <f t="shared" si="1"/>
        <v>26</v>
      </c>
      <c r="B50" s="120">
        <f t="shared" si="2"/>
        <v>5</v>
      </c>
      <c r="C50" s="120">
        <f t="shared" si="3"/>
        <v>127.5</v>
      </c>
      <c r="D50" s="124">
        <f t="shared" si="4"/>
        <v>2.225E-3</v>
      </c>
      <c r="E50" s="122">
        <f t="shared" si="5"/>
        <v>101.08529772941283</v>
      </c>
      <c r="F50" s="120">
        <f t="shared" si="6"/>
        <v>0</v>
      </c>
      <c r="G50" s="122">
        <f t="shared" si="7"/>
        <v>101.08529772941283</v>
      </c>
      <c r="H50" s="122">
        <f t="shared" si="8"/>
        <v>176.89927102647243</v>
      </c>
      <c r="I50" s="125">
        <f t="shared" si="9"/>
        <v>222.5</v>
      </c>
      <c r="J50" s="125">
        <f t="shared" si="10"/>
        <v>39.360087803390115</v>
      </c>
    </row>
    <row r="51" spans="1:10" x14ac:dyDescent="0.2">
      <c r="A51" s="120">
        <f t="shared" si="1"/>
        <v>27</v>
      </c>
      <c r="B51" s="120">
        <f t="shared" si="2"/>
        <v>5</v>
      </c>
      <c r="C51" s="120">
        <f t="shared" si="3"/>
        <v>132.5</v>
      </c>
      <c r="D51" s="124">
        <f t="shared" si="4"/>
        <v>2.1749999999999999E-3</v>
      </c>
      <c r="E51" s="122">
        <f t="shared" si="5"/>
        <v>98.813718005156346</v>
      </c>
      <c r="F51" s="120">
        <f t="shared" si="6"/>
        <v>0</v>
      </c>
      <c r="G51" s="122">
        <f t="shared" si="7"/>
        <v>98.813718005156346</v>
      </c>
      <c r="H51" s="122">
        <f t="shared" si="8"/>
        <v>172.9240065090236</v>
      </c>
      <c r="I51" s="125">
        <f t="shared" si="9"/>
        <v>217.5</v>
      </c>
      <c r="J51" s="125">
        <f t="shared" si="10"/>
        <v>37.610971415712626</v>
      </c>
    </row>
    <row r="52" spans="1:10" x14ac:dyDescent="0.2">
      <c r="A52" s="120">
        <f t="shared" si="1"/>
        <v>28</v>
      </c>
      <c r="B52" s="120">
        <f t="shared" si="2"/>
        <v>5</v>
      </c>
      <c r="C52" s="120">
        <f t="shared" si="3"/>
        <v>137.5</v>
      </c>
      <c r="D52" s="124">
        <f t="shared" si="4"/>
        <v>2.1250000000000002E-3</v>
      </c>
      <c r="E52" s="122">
        <f t="shared" si="5"/>
        <v>96.542138280899891</v>
      </c>
      <c r="F52" s="120">
        <f t="shared" si="6"/>
        <v>0</v>
      </c>
      <c r="G52" s="122">
        <f t="shared" si="7"/>
        <v>96.542138280899891</v>
      </c>
      <c r="H52" s="122">
        <f t="shared" si="8"/>
        <v>168.94874199157482</v>
      </c>
      <c r="I52" s="125">
        <f t="shared" si="9"/>
        <v>212.5</v>
      </c>
      <c r="J52" s="125">
        <f t="shared" si="10"/>
        <v>35.901607673209647</v>
      </c>
    </row>
    <row r="53" spans="1:10" x14ac:dyDescent="0.2">
      <c r="A53" s="120">
        <f t="shared" si="1"/>
        <v>29</v>
      </c>
      <c r="B53" s="120">
        <f t="shared" si="2"/>
        <v>5</v>
      </c>
      <c r="C53" s="120">
        <f t="shared" si="3"/>
        <v>142.5</v>
      </c>
      <c r="D53" s="124">
        <f t="shared" si="4"/>
        <v>2.075E-3</v>
      </c>
      <c r="E53" s="122">
        <f t="shared" si="5"/>
        <v>94.270558556643422</v>
      </c>
      <c r="F53" s="120">
        <f t="shared" si="6"/>
        <v>0</v>
      </c>
      <c r="G53" s="122">
        <f t="shared" si="7"/>
        <v>94.270558556643422</v>
      </c>
      <c r="H53" s="122">
        <f t="shared" si="8"/>
        <v>164.97347747412599</v>
      </c>
      <c r="I53" s="125">
        <f t="shared" si="9"/>
        <v>207.5</v>
      </c>
      <c r="J53" s="125">
        <f t="shared" si="10"/>
        <v>34.231996575881148</v>
      </c>
    </row>
    <row r="54" spans="1:10" x14ac:dyDescent="0.2">
      <c r="A54" s="120">
        <f t="shared" si="1"/>
        <v>30</v>
      </c>
      <c r="B54" s="120">
        <f t="shared" si="2"/>
        <v>5</v>
      </c>
      <c r="C54" s="120">
        <f t="shared" si="3"/>
        <v>147.5</v>
      </c>
      <c r="D54" s="124">
        <f t="shared" si="4"/>
        <v>2.0249999999999999E-3</v>
      </c>
      <c r="E54" s="122">
        <f t="shared" si="5"/>
        <v>91.998978832386953</v>
      </c>
      <c r="F54" s="120">
        <f t="shared" si="6"/>
        <v>0</v>
      </c>
      <c r="G54" s="122">
        <f t="shared" si="7"/>
        <v>91.998978832386953</v>
      </c>
      <c r="H54" s="122">
        <f t="shared" si="8"/>
        <v>160.99821295667715</v>
      </c>
      <c r="I54" s="125">
        <f t="shared" si="9"/>
        <v>202.5</v>
      </c>
      <c r="J54" s="125">
        <f t="shared" si="10"/>
        <v>32.602138123727123</v>
      </c>
    </row>
    <row r="55" spans="1:10" x14ac:dyDescent="0.2">
      <c r="A55" s="120">
        <f t="shared" si="1"/>
        <v>31</v>
      </c>
      <c r="B55" s="120">
        <f t="shared" si="2"/>
        <v>5</v>
      </c>
      <c r="C55" s="120">
        <f t="shared" si="3"/>
        <v>152.5</v>
      </c>
      <c r="D55" s="124">
        <f t="shared" si="4"/>
        <v>1.9750000000000002E-3</v>
      </c>
      <c r="E55" s="122">
        <f t="shared" si="5"/>
        <v>89.727399108130498</v>
      </c>
      <c r="F55" s="120">
        <f t="shared" si="6"/>
        <v>0</v>
      </c>
      <c r="G55" s="122">
        <f t="shared" si="7"/>
        <v>89.727399108130498</v>
      </c>
      <c r="H55" s="122">
        <f t="shared" si="8"/>
        <v>157.02294843922837</v>
      </c>
      <c r="I55" s="125">
        <f t="shared" si="9"/>
        <v>197.5</v>
      </c>
      <c r="J55" s="125">
        <f t="shared" si="10"/>
        <v>31.0120323167476</v>
      </c>
    </row>
    <row r="56" spans="1:10" x14ac:dyDescent="0.2">
      <c r="A56" s="120">
        <f t="shared" si="1"/>
        <v>32</v>
      </c>
      <c r="B56" s="120">
        <f t="shared" si="2"/>
        <v>5</v>
      </c>
      <c r="C56" s="120">
        <f t="shared" si="3"/>
        <v>157.5</v>
      </c>
      <c r="D56" s="124">
        <f t="shared" si="4"/>
        <v>1.9249999999999998E-3</v>
      </c>
      <c r="E56" s="122">
        <f t="shared" si="5"/>
        <v>87.455819383874015</v>
      </c>
      <c r="F56" s="120">
        <f t="shared" si="6"/>
        <v>0</v>
      </c>
      <c r="G56" s="122">
        <f t="shared" si="7"/>
        <v>87.455819383874015</v>
      </c>
      <c r="H56" s="122">
        <f t="shared" si="8"/>
        <v>153.04768392177954</v>
      </c>
      <c r="I56" s="125">
        <f t="shared" si="9"/>
        <v>192.5</v>
      </c>
      <c r="J56" s="125">
        <f t="shared" si="10"/>
        <v>29.461679154942562</v>
      </c>
    </row>
    <row r="57" spans="1:10" x14ac:dyDescent="0.2">
      <c r="A57" s="120">
        <f t="shared" si="1"/>
        <v>33</v>
      </c>
      <c r="B57" s="120">
        <f t="shared" si="2"/>
        <v>5</v>
      </c>
      <c r="C57" s="120">
        <f t="shared" si="3"/>
        <v>162.5</v>
      </c>
      <c r="D57" s="124">
        <f t="shared" si="4"/>
        <v>1.8749999999999999E-3</v>
      </c>
      <c r="E57" s="122">
        <f t="shared" si="5"/>
        <v>85.184239659617546</v>
      </c>
      <c r="F57" s="120">
        <f t="shared" si="6"/>
        <v>0</v>
      </c>
      <c r="G57" s="122">
        <f t="shared" si="7"/>
        <v>85.184239659617546</v>
      </c>
      <c r="H57" s="122">
        <f t="shared" si="8"/>
        <v>149.0724194043307</v>
      </c>
      <c r="I57" s="125">
        <f t="shared" si="9"/>
        <v>187.5</v>
      </c>
      <c r="J57" s="125">
        <f t="shared" si="10"/>
        <v>27.951078638312005</v>
      </c>
    </row>
    <row r="58" spans="1:10" x14ac:dyDescent="0.2">
      <c r="A58" s="120">
        <f t="shared" si="1"/>
        <v>34</v>
      </c>
      <c r="B58" s="120">
        <f t="shared" si="2"/>
        <v>5</v>
      </c>
      <c r="C58" s="120">
        <f t="shared" si="3"/>
        <v>167.5</v>
      </c>
      <c r="D58" s="124">
        <f t="shared" si="4"/>
        <v>1.825E-3</v>
      </c>
      <c r="E58" s="122">
        <f t="shared" si="5"/>
        <v>82.912659935361077</v>
      </c>
      <c r="F58" s="133">
        <f t="shared" si="6"/>
        <v>0</v>
      </c>
      <c r="G58" s="122">
        <f t="shared" si="7"/>
        <v>82.912659935361077</v>
      </c>
      <c r="H58" s="122">
        <f t="shared" si="8"/>
        <v>145.09715488688187</v>
      </c>
      <c r="I58" s="125">
        <f t="shared" si="9"/>
        <v>182.5</v>
      </c>
      <c r="J58" s="125">
        <f t="shared" si="10"/>
        <v>26.480230766855939</v>
      </c>
    </row>
    <row r="59" spans="1:10" x14ac:dyDescent="0.2">
      <c r="A59" s="120">
        <f t="shared" si="1"/>
        <v>35</v>
      </c>
      <c r="B59" s="120">
        <f t="shared" si="2"/>
        <v>5</v>
      </c>
      <c r="C59" s="120">
        <f t="shared" si="3"/>
        <v>172.5</v>
      </c>
      <c r="D59" s="124">
        <f t="shared" si="4"/>
        <v>1.7749999999999999E-3</v>
      </c>
      <c r="E59" s="122">
        <f t="shared" si="5"/>
        <v>80.641080211104608</v>
      </c>
      <c r="F59" s="120">
        <f t="shared" si="6"/>
        <v>0</v>
      </c>
      <c r="G59" s="122">
        <f t="shared" si="7"/>
        <v>80.641080211104608</v>
      </c>
      <c r="H59" s="122">
        <f t="shared" si="8"/>
        <v>141.12189036943306</v>
      </c>
      <c r="I59" s="125">
        <f t="shared" si="9"/>
        <v>177.5</v>
      </c>
      <c r="J59" s="125">
        <f t="shared" si="10"/>
        <v>25.049135540574365</v>
      </c>
    </row>
    <row r="60" spans="1:10" x14ac:dyDescent="0.2">
      <c r="A60" s="120">
        <f t="shared" si="1"/>
        <v>36</v>
      </c>
      <c r="B60" s="120">
        <f t="shared" si="2"/>
        <v>5</v>
      </c>
      <c r="C60" s="120">
        <f t="shared" si="3"/>
        <v>177.5</v>
      </c>
      <c r="D60" s="124">
        <f t="shared" si="4"/>
        <v>1.725E-3</v>
      </c>
      <c r="E60" s="122">
        <f t="shared" si="5"/>
        <v>78.369500486848139</v>
      </c>
      <c r="F60" s="120">
        <f t="shared" si="6"/>
        <v>0</v>
      </c>
      <c r="G60" s="122">
        <f t="shared" si="7"/>
        <v>78.369500486848139</v>
      </c>
      <c r="H60" s="122">
        <f t="shared" si="8"/>
        <v>137.14662585198425</v>
      </c>
      <c r="I60" s="125">
        <f t="shared" si="9"/>
        <v>172.5</v>
      </c>
      <c r="J60" s="125">
        <f t="shared" si="10"/>
        <v>23.657792959467283</v>
      </c>
    </row>
    <row r="61" spans="1:10" x14ac:dyDescent="0.2">
      <c r="A61" s="120">
        <f t="shared" si="1"/>
        <v>37</v>
      </c>
      <c r="B61" s="120">
        <f t="shared" si="2"/>
        <v>5</v>
      </c>
      <c r="C61" s="120">
        <f t="shared" si="3"/>
        <v>182.5</v>
      </c>
      <c r="D61" s="124">
        <f t="shared" si="4"/>
        <v>1.6750000000000001E-3</v>
      </c>
      <c r="E61" s="122">
        <f t="shared" si="5"/>
        <v>76.097920762591684</v>
      </c>
      <c r="F61" s="120">
        <f t="shared" si="6"/>
        <v>0</v>
      </c>
      <c r="G61" s="122">
        <f t="shared" si="7"/>
        <v>76.097920762591684</v>
      </c>
      <c r="H61" s="122">
        <f t="shared" si="8"/>
        <v>133.17136133453545</v>
      </c>
      <c r="I61" s="125">
        <f t="shared" si="9"/>
        <v>167.5</v>
      </c>
      <c r="J61" s="125">
        <f t="shared" si="10"/>
        <v>22.306203023534685</v>
      </c>
    </row>
    <row r="62" spans="1:10" x14ac:dyDescent="0.2">
      <c r="A62" s="120">
        <f t="shared" si="1"/>
        <v>38</v>
      </c>
      <c r="B62" s="120">
        <f t="shared" si="2"/>
        <v>5</v>
      </c>
      <c r="C62" s="120">
        <f t="shared" si="3"/>
        <v>187.5</v>
      </c>
      <c r="D62" s="124">
        <f t="shared" si="4"/>
        <v>1.6249999999999999E-3</v>
      </c>
      <c r="E62" s="122">
        <f t="shared" si="5"/>
        <v>73.826341038335201</v>
      </c>
      <c r="F62" s="120">
        <f t="shared" si="6"/>
        <v>0</v>
      </c>
      <c r="G62" s="122">
        <f t="shared" si="7"/>
        <v>73.826341038335201</v>
      </c>
      <c r="H62" s="122">
        <f t="shared" si="8"/>
        <v>129.19609681708658</v>
      </c>
      <c r="I62" s="125">
        <f t="shared" si="9"/>
        <v>162.5</v>
      </c>
      <c r="J62" s="125">
        <f t="shared" si="10"/>
        <v>20.994365732776568</v>
      </c>
    </row>
    <row r="63" spans="1:10" x14ac:dyDescent="0.2">
      <c r="A63" s="120">
        <f t="shared" si="1"/>
        <v>39</v>
      </c>
      <c r="B63" s="120">
        <f t="shared" si="2"/>
        <v>5</v>
      </c>
      <c r="C63" s="120">
        <f t="shared" si="3"/>
        <v>192.5</v>
      </c>
      <c r="D63" s="124">
        <f t="shared" si="4"/>
        <v>1.575E-3</v>
      </c>
      <c r="E63" s="122">
        <f t="shared" si="5"/>
        <v>71.554761314078746</v>
      </c>
      <c r="F63" s="120">
        <f t="shared" si="6"/>
        <v>0</v>
      </c>
      <c r="G63" s="122">
        <f t="shared" si="7"/>
        <v>71.554761314078746</v>
      </c>
      <c r="H63" s="122">
        <f t="shared" si="8"/>
        <v>125.22083229963781</v>
      </c>
      <c r="I63" s="125">
        <f t="shared" si="9"/>
        <v>157.5</v>
      </c>
      <c r="J63" s="125">
        <f t="shared" si="10"/>
        <v>19.722281087192954</v>
      </c>
    </row>
    <row r="64" spans="1:10" x14ac:dyDescent="0.2">
      <c r="A64" s="120">
        <f t="shared" si="1"/>
        <v>40</v>
      </c>
      <c r="B64" s="120">
        <f t="shared" si="2"/>
        <v>5</v>
      </c>
      <c r="C64" s="120">
        <f t="shared" si="3"/>
        <v>197.5</v>
      </c>
      <c r="D64" s="124">
        <f t="shared" si="4"/>
        <v>1.5250000000000001E-3</v>
      </c>
      <c r="E64" s="122">
        <f t="shared" si="5"/>
        <v>69.283181589822277</v>
      </c>
      <c r="F64" s="120">
        <f t="shared" si="6"/>
        <v>0</v>
      </c>
      <c r="G64" s="122">
        <f t="shared" si="7"/>
        <v>69.283181589822277</v>
      </c>
      <c r="H64" s="122">
        <f t="shared" si="8"/>
        <v>121.245567782189</v>
      </c>
      <c r="I64" s="125">
        <f t="shared" si="9"/>
        <v>152.5</v>
      </c>
      <c r="J64" s="125">
        <f t="shared" si="10"/>
        <v>18.48994908678382</v>
      </c>
    </row>
    <row r="65" spans="1:10" x14ac:dyDescent="0.2">
      <c r="A65" s="120">
        <f t="shared" si="1"/>
        <v>41</v>
      </c>
      <c r="B65" s="120">
        <f t="shared" si="2"/>
        <v>5</v>
      </c>
      <c r="C65" s="120">
        <f t="shared" si="3"/>
        <v>202.5</v>
      </c>
      <c r="D65" s="124">
        <f t="shared" si="4"/>
        <v>1.475E-3</v>
      </c>
      <c r="E65" s="122">
        <f t="shared" si="5"/>
        <v>67.011601865565808</v>
      </c>
      <c r="F65" s="120">
        <f t="shared" si="6"/>
        <v>0</v>
      </c>
      <c r="G65" s="122">
        <f t="shared" si="7"/>
        <v>67.011601865565808</v>
      </c>
      <c r="H65" s="122">
        <f t="shared" si="8"/>
        <v>117.27030326474015</v>
      </c>
      <c r="I65" s="125">
        <f t="shared" si="9"/>
        <v>147.5</v>
      </c>
      <c r="J65" s="125">
        <f t="shared" si="10"/>
        <v>17.297369731549175</v>
      </c>
    </row>
    <row r="66" spans="1:10" x14ac:dyDescent="0.2">
      <c r="A66" s="120">
        <f t="shared" si="1"/>
        <v>42</v>
      </c>
      <c r="B66" s="120">
        <f t="shared" si="2"/>
        <v>5</v>
      </c>
      <c r="C66" s="120">
        <f t="shared" si="3"/>
        <v>207.5</v>
      </c>
      <c r="D66" s="124">
        <f t="shared" si="4"/>
        <v>1.4250000000000001E-3</v>
      </c>
      <c r="E66" s="122">
        <f t="shared" si="5"/>
        <v>64.740022141309339</v>
      </c>
      <c r="F66" s="120">
        <f t="shared" si="6"/>
        <v>0</v>
      </c>
      <c r="G66" s="122">
        <f t="shared" si="7"/>
        <v>64.740022141309339</v>
      </c>
      <c r="H66" s="122">
        <f t="shared" si="8"/>
        <v>113.29503874729134</v>
      </c>
      <c r="I66" s="125">
        <f t="shared" si="9"/>
        <v>142.5</v>
      </c>
      <c r="J66" s="125">
        <f t="shared" si="10"/>
        <v>16.144543021489017</v>
      </c>
    </row>
    <row r="67" spans="1:10" x14ac:dyDescent="0.2">
      <c r="A67" s="120">
        <f t="shared" si="1"/>
        <v>43</v>
      </c>
      <c r="B67" s="120">
        <f t="shared" si="2"/>
        <v>5</v>
      </c>
      <c r="C67" s="120">
        <f t="shared" si="3"/>
        <v>212.5</v>
      </c>
      <c r="D67" s="124">
        <f t="shared" si="4"/>
        <v>1.3750000000000001E-3</v>
      </c>
      <c r="E67" s="122">
        <f t="shared" si="5"/>
        <v>62.468442417052877</v>
      </c>
      <c r="F67" s="120">
        <f t="shared" si="6"/>
        <v>0</v>
      </c>
      <c r="G67" s="122">
        <f t="shared" si="7"/>
        <v>62.468442417052877</v>
      </c>
      <c r="H67" s="122">
        <f t="shared" si="8"/>
        <v>109.31977422984252</v>
      </c>
      <c r="I67" s="125">
        <f t="shared" si="9"/>
        <v>137.5</v>
      </c>
      <c r="J67" s="125">
        <f t="shared" si="10"/>
        <v>15.031468956603346</v>
      </c>
    </row>
    <row r="68" spans="1:10" x14ac:dyDescent="0.2">
      <c r="A68" s="120">
        <f t="shared" si="1"/>
        <v>44</v>
      </c>
      <c r="B68" s="120">
        <f t="shared" si="2"/>
        <v>5</v>
      </c>
      <c r="C68" s="120">
        <f t="shared" si="3"/>
        <v>217.5</v>
      </c>
      <c r="D68" s="124">
        <f t="shared" si="4"/>
        <v>1.325E-3</v>
      </c>
      <c r="E68" s="122">
        <f t="shared" si="5"/>
        <v>60.196862692796401</v>
      </c>
      <c r="F68" s="120">
        <f t="shared" si="6"/>
        <v>0</v>
      </c>
      <c r="G68" s="122">
        <f t="shared" si="7"/>
        <v>60.196862692796401</v>
      </c>
      <c r="H68" s="122">
        <f t="shared" si="8"/>
        <v>105.3445097123937</v>
      </c>
      <c r="I68" s="125">
        <f t="shared" si="9"/>
        <v>132.5</v>
      </c>
      <c r="J68" s="125">
        <f t="shared" si="10"/>
        <v>13.958147536892165</v>
      </c>
    </row>
    <row r="69" spans="1:10" x14ac:dyDescent="0.2">
      <c r="A69" s="120">
        <f t="shared" si="1"/>
        <v>45</v>
      </c>
      <c r="B69" s="120">
        <f t="shared" si="2"/>
        <v>5</v>
      </c>
      <c r="C69" s="120">
        <f t="shared" si="3"/>
        <v>222.5</v>
      </c>
      <c r="D69" s="124">
        <f t="shared" si="4"/>
        <v>1.2750000000000001E-3</v>
      </c>
      <c r="E69" s="122">
        <f t="shared" si="5"/>
        <v>57.925282968539939</v>
      </c>
      <c r="F69" s="120">
        <f t="shared" si="6"/>
        <v>0</v>
      </c>
      <c r="G69" s="122">
        <f t="shared" si="7"/>
        <v>57.925282968539939</v>
      </c>
      <c r="H69" s="122">
        <f t="shared" si="8"/>
        <v>101.36924519494488</v>
      </c>
      <c r="I69" s="125">
        <f t="shared" si="9"/>
        <v>127.5</v>
      </c>
      <c r="J69" s="125">
        <f t="shared" si="10"/>
        <v>12.924578762355472</v>
      </c>
    </row>
    <row r="70" spans="1:10" x14ac:dyDescent="0.2">
      <c r="A70" s="120">
        <f t="shared" si="1"/>
        <v>46</v>
      </c>
      <c r="B70" s="120">
        <f t="shared" si="2"/>
        <v>5</v>
      </c>
      <c r="C70" s="120">
        <f t="shared" si="3"/>
        <v>227.5</v>
      </c>
      <c r="D70" s="124">
        <f t="shared" si="4"/>
        <v>1.225E-3</v>
      </c>
      <c r="E70" s="122">
        <f t="shared" si="5"/>
        <v>55.653703244283463</v>
      </c>
      <c r="F70" s="120">
        <f t="shared" si="6"/>
        <v>0</v>
      </c>
      <c r="G70" s="122">
        <f t="shared" si="7"/>
        <v>55.653703244283463</v>
      </c>
      <c r="H70" s="122">
        <f t="shared" si="8"/>
        <v>97.39398067749606</v>
      </c>
      <c r="I70" s="125">
        <f t="shared" si="9"/>
        <v>122.5</v>
      </c>
      <c r="J70" s="125">
        <f t="shared" si="10"/>
        <v>11.930762632993268</v>
      </c>
    </row>
    <row r="71" spans="1:10" x14ac:dyDescent="0.2">
      <c r="A71" s="120">
        <f t="shared" si="1"/>
        <v>47</v>
      </c>
      <c r="B71" s="120">
        <f t="shared" si="2"/>
        <v>5</v>
      </c>
      <c r="C71" s="120">
        <f t="shared" si="3"/>
        <v>232.5</v>
      </c>
      <c r="D71" s="124">
        <f t="shared" si="4"/>
        <v>1.175E-3</v>
      </c>
      <c r="E71" s="122">
        <f t="shared" si="5"/>
        <v>53.382123520027001</v>
      </c>
      <c r="F71" s="120">
        <f t="shared" si="6"/>
        <v>0</v>
      </c>
      <c r="G71" s="122">
        <f t="shared" si="7"/>
        <v>53.382123520027001</v>
      </c>
      <c r="H71" s="122">
        <f t="shared" si="8"/>
        <v>93.418716160047239</v>
      </c>
      <c r="I71" s="125">
        <f t="shared" si="9"/>
        <v>117.5</v>
      </c>
      <c r="J71" s="125">
        <f t="shared" si="10"/>
        <v>10.976699148805549</v>
      </c>
    </row>
    <row r="72" spans="1:10" x14ac:dyDescent="0.2">
      <c r="A72" s="120">
        <f t="shared" si="1"/>
        <v>48</v>
      </c>
      <c r="B72" s="120">
        <f t="shared" si="2"/>
        <v>5</v>
      </c>
      <c r="C72" s="120">
        <f t="shared" si="3"/>
        <v>237.5</v>
      </c>
      <c r="D72" s="124">
        <f t="shared" si="4"/>
        <v>1.1249999999999999E-3</v>
      </c>
      <c r="E72" s="122">
        <f t="shared" si="5"/>
        <v>51.110543795770525</v>
      </c>
      <c r="F72" s="120">
        <f t="shared" si="6"/>
        <v>0</v>
      </c>
      <c r="G72" s="122">
        <f t="shared" si="7"/>
        <v>51.110543795770525</v>
      </c>
      <c r="H72" s="122">
        <f t="shared" si="8"/>
        <v>89.443451642598404</v>
      </c>
      <c r="I72" s="125">
        <f t="shared" si="9"/>
        <v>112.5</v>
      </c>
      <c r="J72" s="125">
        <f t="shared" si="10"/>
        <v>10.06238830979232</v>
      </c>
    </row>
    <row r="73" spans="1:10" x14ac:dyDescent="0.2">
      <c r="A73" s="120">
        <f t="shared" si="1"/>
        <v>49</v>
      </c>
      <c r="B73" s="120">
        <f t="shared" si="2"/>
        <v>5</v>
      </c>
      <c r="C73" s="120">
        <f t="shared" si="3"/>
        <v>242.5</v>
      </c>
      <c r="D73" s="124">
        <f t="shared" si="4"/>
        <v>1.075E-3</v>
      </c>
      <c r="E73" s="122">
        <f t="shared" si="5"/>
        <v>48.838964071514063</v>
      </c>
      <c r="F73" s="120">
        <f t="shared" si="6"/>
        <v>0</v>
      </c>
      <c r="G73" s="122">
        <f t="shared" si="7"/>
        <v>48.838964071514063</v>
      </c>
      <c r="H73" s="122">
        <f t="shared" si="8"/>
        <v>85.468187125149626</v>
      </c>
      <c r="I73" s="125">
        <f t="shared" si="9"/>
        <v>107.5</v>
      </c>
      <c r="J73" s="125">
        <f t="shared" si="10"/>
        <v>9.1878301159535845</v>
      </c>
    </row>
    <row r="74" spans="1:10" x14ac:dyDescent="0.2">
      <c r="A74" s="120">
        <f t="shared" si="1"/>
        <v>50</v>
      </c>
      <c r="B74" s="120">
        <f t="shared" si="2"/>
        <v>5</v>
      </c>
      <c r="C74" s="120">
        <f t="shared" si="3"/>
        <v>247.5</v>
      </c>
      <c r="D74" s="124">
        <f t="shared" si="4"/>
        <v>1.0250000000000001E-3</v>
      </c>
      <c r="E74" s="122">
        <f t="shared" si="5"/>
        <v>46.567384347257601</v>
      </c>
      <c r="F74" s="120">
        <f t="shared" si="6"/>
        <v>0</v>
      </c>
      <c r="G74" s="122">
        <f t="shared" si="7"/>
        <v>46.567384347257601</v>
      </c>
      <c r="H74" s="122">
        <f t="shared" si="8"/>
        <v>81.492922607700805</v>
      </c>
      <c r="I74" s="125">
        <f t="shared" si="9"/>
        <v>102.5</v>
      </c>
      <c r="J74" s="125">
        <f t="shared" si="10"/>
        <v>8.3530245672893333</v>
      </c>
    </row>
    <row r="75" spans="1:10" x14ac:dyDescent="0.2">
      <c r="A75" s="120">
        <f t="shared" si="1"/>
        <v>51</v>
      </c>
      <c r="B75" s="120">
        <f t="shared" si="2"/>
        <v>5</v>
      </c>
      <c r="C75" s="120">
        <f t="shared" si="3"/>
        <v>252.5</v>
      </c>
      <c r="D75" s="124">
        <f t="shared" si="4"/>
        <v>9.7499999999999996E-4</v>
      </c>
      <c r="E75" s="122">
        <f t="shared" si="5"/>
        <v>44.295804623001125</v>
      </c>
      <c r="F75" s="120">
        <f t="shared" si="6"/>
        <v>0</v>
      </c>
      <c r="G75" s="122">
        <f t="shared" si="7"/>
        <v>44.295804623001125</v>
      </c>
      <c r="H75" s="122">
        <f t="shared" si="8"/>
        <v>77.51765809025197</v>
      </c>
      <c r="I75" s="125">
        <f t="shared" si="9"/>
        <v>97.5</v>
      </c>
      <c r="J75" s="125">
        <f t="shared" si="10"/>
        <v>7.5579716637995666</v>
      </c>
    </row>
    <row r="76" spans="1:10" x14ac:dyDescent="0.2">
      <c r="A76" s="120">
        <f t="shared" si="1"/>
        <v>52</v>
      </c>
      <c r="B76" s="120">
        <f t="shared" si="2"/>
        <v>5</v>
      </c>
      <c r="C76" s="120">
        <f t="shared" si="3"/>
        <v>257.5</v>
      </c>
      <c r="D76" s="124">
        <f t="shared" si="4"/>
        <v>9.2499999999999993E-4</v>
      </c>
      <c r="E76" s="122">
        <f t="shared" si="5"/>
        <v>42.024224898744656</v>
      </c>
      <c r="F76" s="120">
        <f t="shared" si="6"/>
        <v>0</v>
      </c>
      <c r="G76" s="122">
        <f t="shared" si="7"/>
        <v>42.024224898744656</v>
      </c>
      <c r="H76" s="122">
        <f t="shared" si="8"/>
        <v>73.542393572803149</v>
      </c>
      <c r="I76" s="125">
        <f t="shared" si="9"/>
        <v>92.5</v>
      </c>
      <c r="J76" s="125">
        <f t="shared" si="10"/>
        <v>6.8026714054842916</v>
      </c>
    </row>
    <row r="77" spans="1:10" x14ac:dyDescent="0.2">
      <c r="A77" s="120">
        <f t="shared" si="1"/>
        <v>53</v>
      </c>
      <c r="B77" s="120">
        <f t="shared" si="2"/>
        <v>5</v>
      </c>
      <c r="C77" s="120">
        <f t="shared" si="3"/>
        <v>262.5</v>
      </c>
      <c r="D77" s="124">
        <f t="shared" si="4"/>
        <v>8.7500000000000002E-4</v>
      </c>
      <c r="E77" s="122">
        <f t="shared" si="5"/>
        <v>39.752645174488194</v>
      </c>
      <c r="F77" s="120">
        <f t="shared" si="6"/>
        <v>0</v>
      </c>
      <c r="G77" s="122">
        <f t="shared" si="7"/>
        <v>39.752645174488194</v>
      </c>
      <c r="H77" s="122">
        <f t="shared" si="8"/>
        <v>69.567129055354343</v>
      </c>
      <c r="I77" s="125">
        <f t="shared" si="9"/>
        <v>87.5</v>
      </c>
      <c r="J77" s="125">
        <f t="shared" si="10"/>
        <v>6.0871237923435046</v>
      </c>
    </row>
    <row r="78" spans="1:10" x14ac:dyDescent="0.2">
      <c r="A78" s="120">
        <f t="shared" si="1"/>
        <v>54</v>
      </c>
      <c r="B78" s="120">
        <f t="shared" si="2"/>
        <v>5</v>
      </c>
      <c r="C78" s="120">
        <f t="shared" si="3"/>
        <v>267.5</v>
      </c>
      <c r="D78" s="124">
        <f t="shared" si="4"/>
        <v>8.25E-4</v>
      </c>
      <c r="E78" s="122">
        <f t="shared" si="5"/>
        <v>37.481065450231725</v>
      </c>
      <c r="F78" s="120">
        <f t="shared" si="6"/>
        <v>0</v>
      </c>
      <c r="G78" s="122">
        <f t="shared" si="7"/>
        <v>37.481065450231725</v>
      </c>
      <c r="H78" s="122">
        <f t="shared" si="8"/>
        <v>65.591864537905522</v>
      </c>
      <c r="I78" s="125">
        <f t="shared" si="9"/>
        <v>82.5</v>
      </c>
      <c r="J78" s="125">
        <f t="shared" si="10"/>
        <v>5.4113288243772057</v>
      </c>
    </row>
    <row r="79" spans="1:10" x14ac:dyDescent="0.2">
      <c r="A79" s="120">
        <f t="shared" si="1"/>
        <v>55</v>
      </c>
      <c r="B79" s="120">
        <f t="shared" si="2"/>
        <v>5</v>
      </c>
      <c r="C79" s="120">
        <f t="shared" si="3"/>
        <v>272.5</v>
      </c>
      <c r="D79" s="124">
        <f t="shared" si="4"/>
        <v>7.7499999999999997E-4</v>
      </c>
      <c r="E79" s="122">
        <f t="shared" si="5"/>
        <v>35.209485725975256</v>
      </c>
      <c r="F79" s="120">
        <f t="shared" si="6"/>
        <v>0</v>
      </c>
      <c r="G79" s="122">
        <f t="shared" si="7"/>
        <v>35.209485725975256</v>
      </c>
      <c r="H79" s="122">
        <f t="shared" si="8"/>
        <v>61.616600020456694</v>
      </c>
      <c r="I79" s="125">
        <f t="shared" si="9"/>
        <v>77.5</v>
      </c>
      <c r="J79" s="125">
        <f t="shared" si="10"/>
        <v>4.775286501585394</v>
      </c>
    </row>
    <row r="80" spans="1:10" x14ac:dyDescent="0.2">
      <c r="A80" s="120">
        <f t="shared" si="1"/>
        <v>56</v>
      </c>
      <c r="B80" s="120">
        <f t="shared" si="2"/>
        <v>5</v>
      </c>
      <c r="C80" s="120">
        <f t="shared" si="3"/>
        <v>277.5</v>
      </c>
      <c r="D80" s="124">
        <f t="shared" si="4"/>
        <v>7.2500000000000006E-4</v>
      </c>
      <c r="E80" s="122">
        <f t="shared" si="5"/>
        <v>32.937906001718787</v>
      </c>
      <c r="F80" s="120">
        <f t="shared" si="6"/>
        <v>0</v>
      </c>
      <c r="G80" s="122">
        <f t="shared" si="7"/>
        <v>32.937906001718787</v>
      </c>
      <c r="H80" s="122">
        <f t="shared" si="8"/>
        <v>57.641335503007873</v>
      </c>
      <c r="I80" s="125">
        <f t="shared" si="9"/>
        <v>72.5</v>
      </c>
      <c r="J80" s="125">
        <f t="shared" si="10"/>
        <v>4.1789968239680713</v>
      </c>
    </row>
    <row r="81" spans="1:10" x14ac:dyDescent="0.2">
      <c r="A81" s="120">
        <f t="shared" si="1"/>
        <v>57</v>
      </c>
      <c r="B81" s="120">
        <f t="shared" si="2"/>
        <v>5</v>
      </c>
      <c r="C81" s="120">
        <f t="shared" si="3"/>
        <v>282.5</v>
      </c>
      <c r="D81" s="124">
        <f t="shared" si="4"/>
        <v>6.7500000000000004E-4</v>
      </c>
      <c r="E81" s="122">
        <f t="shared" si="5"/>
        <v>30.666326277462321</v>
      </c>
      <c r="F81" s="120">
        <f t="shared" si="6"/>
        <v>0</v>
      </c>
      <c r="G81" s="122">
        <f t="shared" si="7"/>
        <v>30.666326277462321</v>
      </c>
      <c r="H81" s="122">
        <f t="shared" si="8"/>
        <v>53.66607098555906</v>
      </c>
      <c r="I81" s="125">
        <f t="shared" si="9"/>
        <v>67.5</v>
      </c>
      <c r="J81" s="125">
        <f t="shared" si="10"/>
        <v>3.6224597915252366</v>
      </c>
    </row>
    <row r="82" spans="1:10" x14ac:dyDescent="0.2">
      <c r="A82" s="120">
        <f t="shared" si="1"/>
        <v>58</v>
      </c>
      <c r="B82" s="120">
        <f t="shared" si="2"/>
        <v>5</v>
      </c>
      <c r="C82" s="120">
        <f t="shared" si="3"/>
        <v>287.5</v>
      </c>
      <c r="D82" s="124">
        <f t="shared" si="4"/>
        <v>6.2500000000000001E-4</v>
      </c>
      <c r="E82" s="122">
        <f t="shared" si="5"/>
        <v>28.394746553205852</v>
      </c>
      <c r="F82" s="120">
        <f t="shared" si="6"/>
        <v>0</v>
      </c>
      <c r="G82" s="122">
        <f t="shared" si="7"/>
        <v>28.394746553205852</v>
      </c>
      <c r="H82" s="122">
        <f t="shared" si="8"/>
        <v>49.690806468110239</v>
      </c>
      <c r="I82" s="125">
        <f t="shared" si="9"/>
        <v>62.5</v>
      </c>
      <c r="J82" s="125">
        <f t="shared" si="10"/>
        <v>3.1056754042568899</v>
      </c>
    </row>
    <row r="83" spans="1:10" x14ac:dyDescent="0.2">
      <c r="A83" s="120">
        <f t="shared" si="1"/>
        <v>59</v>
      </c>
      <c r="B83" s="120">
        <f t="shared" si="2"/>
        <v>5</v>
      </c>
      <c r="C83" s="120">
        <f t="shared" si="3"/>
        <v>292.5</v>
      </c>
      <c r="D83" s="124">
        <f t="shared" si="4"/>
        <v>5.7499999999999999E-4</v>
      </c>
      <c r="E83" s="122">
        <f t="shared" si="5"/>
        <v>26.123166828949383</v>
      </c>
      <c r="F83" s="120">
        <f t="shared" si="6"/>
        <v>0</v>
      </c>
      <c r="G83" s="122">
        <f t="shared" si="7"/>
        <v>26.123166828949383</v>
      </c>
      <c r="H83" s="122">
        <f t="shared" si="8"/>
        <v>45.715541950661418</v>
      </c>
      <c r="I83" s="125">
        <f t="shared" si="9"/>
        <v>57.5</v>
      </c>
      <c r="J83" s="125">
        <f t="shared" si="10"/>
        <v>2.6286436621630314</v>
      </c>
    </row>
    <row r="84" spans="1:10" x14ac:dyDescent="0.2">
      <c r="A84" s="120">
        <f t="shared" si="1"/>
        <v>60</v>
      </c>
      <c r="B84" s="120">
        <f t="shared" si="2"/>
        <v>5</v>
      </c>
      <c r="C84" s="120">
        <f t="shared" si="3"/>
        <v>297.5</v>
      </c>
      <c r="D84" s="124">
        <f t="shared" si="4"/>
        <v>5.2499999999999997E-4</v>
      </c>
      <c r="E84" s="122">
        <f t="shared" si="5"/>
        <v>23.851587104692914</v>
      </c>
      <c r="F84" s="120">
        <f t="shared" si="6"/>
        <v>0</v>
      </c>
      <c r="G84" s="122">
        <f t="shared" si="7"/>
        <v>23.851587104692914</v>
      </c>
      <c r="H84" s="122">
        <f t="shared" si="8"/>
        <v>41.740277433212597</v>
      </c>
      <c r="I84" s="125">
        <f t="shared" si="9"/>
        <v>52.5</v>
      </c>
      <c r="J84" s="125">
        <f t="shared" si="10"/>
        <v>2.1913645652436613</v>
      </c>
    </row>
    <row r="85" spans="1:10" x14ac:dyDescent="0.2">
      <c r="A85" s="120">
        <f t="shared" si="1"/>
        <v>61</v>
      </c>
      <c r="B85" s="120">
        <f t="shared" si="2"/>
        <v>5</v>
      </c>
      <c r="C85" s="120">
        <f t="shared" si="3"/>
        <v>302.5</v>
      </c>
      <c r="D85" s="124">
        <f t="shared" si="4"/>
        <v>4.75E-4</v>
      </c>
      <c r="E85" s="122">
        <f t="shared" si="5"/>
        <v>21.580007380436445</v>
      </c>
      <c r="F85" s="120">
        <f t="shared" si="6"/>
        <v>0</v>
      </c>
      <c r="G85" s="122">
        <f t="shared" si="7"/>
        <v>21.580007380436445</v>
      </c>
      <c r="H85" s="122">
        <f t="shared" si="8"/>
        <v>37.765012915763776</v>
      </c>
      <c r="I85" s="125">
        <f t="shared" si="9"/>
        <v>47.5</v>
      </c>
      <c r="J85" s="125">
        <f t="shared" si="10"/>
        <v>1.7938381134987795</v>
      </c>
    </row>
    <row r="86" spans="1:10" x14ac:dyDescent="0.2">
      <c r="A86" s="120">
        <f t="shared" si="1"/>
        <v>62</v>
      </c>
      <c r="B86" s="120">
        <f t="shared" si="2"/>
        <v>5</v>
      </c>
      <c r="C86" s="120">
        <f t="shared" si="3"/>
        <v>307.5</v>
      </c>
      <c r="D86" s="124">
        <f t="shared" si="4"/>
        <v>4.2499999999999998E-4</v>
      </c>
      <c r="E86" s="122">
        <f t="shared" si="5"/>
        <v>19.308427656179976</v>
      </c>
      <c r="F86" s="120">
        <f t="shared" si="6"/>
        <v>0</v>
      </c>
      <c r="G86" s="122">
        <f t="shared" si="7"/>
        <v>19.308427656179976</v>
      </c>
      <c r="H86" s="122">
        <f t="shared" si="8"/>
        <v>33.789748398314956</v>
      </c>
      <c r="I86" s="125">
        <f t="shared" si="9"/>
        <v>42.5</v>
      </c>
      <c r="J86" s="125">
        <f t="shared" si="10"/>
        <v>1.4360643069283856</v>
      </c>
    </row>
    <row r="87" spans="1:10" x14ac:dyDescent="0.2">
      <c r="A87" s="120">
        <f t="shared" si="1"/>
        <v>63</v>
      </c>
      <c r="B87" s="120">
        <f t="shared" si="2"/>
        <v>5</v>
      </c>
      <c r="C87" s="120">
        <f t="shared" si="3"/>
        <v>312.5</v>
      </c>
      <c r="D87" s="124">
        <f t="shared" si="4"/>
        <v>3.7500000000000001E-4</v>
      </c>
      <c r="E87" s="122">
        <f t="shared" si="5"/>
        <v>17.036847931923511</v>
      </c>
      <c r="F87" s="120">
        <f t="shared" si="6"/>
        <v>0</v>
      </c>
      <c r="G87" s="122">
        <f t="shared" si="7"/>
        <v>17.036847931923511</v>
      </c>
      <c r="H87" s="122">
        <f t="shared" si="8"/>
        <v>29.814483880866142</v>
      </c>
      <c r="I87" s="125">
        <f t="shared" si="9"/>
        <v>37.5</v>
      </c>
      <c r="J87" s="125">
        <f t="shared" si="10"/>
        <v>1.1180431455324804</v>
      </c>
    </row>
    <row r="88" spans="1:10" x14ac:dyDescent="0.2">
      <c r="A88" s="120">
        <f t="shared" si="1"/>
        <v>64</v>
      </c>
      <c r="B88" s="120">
        <f t="shared" si="2"/>
        <v>5</v>
      </c>
      <c r="C88" s="120">
        <f t="shared" si="3"/>
        <v>317.5</v>
      </c>
      <c r="D88" s="124">
        <f t="shared" si="4"/>
        <v>3.2499999999999999E-4</v>
      </c>
      <c r="E88" s="122">
        <f t="shared" si="5"/>
        <v>14.765268207667042</v>
      </c>
      <c r="F88" s="120">
        <f t="shared" si="6"/>
        <v>0</v>
      </c>
      <c r="G88" s="122">
        <f t="shared" si="7"/>
        <v>14.765268207667042</v>
      </c>
      <c r="H88" s="122">
        <f t="shared" si="8"/>
        <v>25.839219363417325</v>
      </c>
      <c r="I88" s="125">
        <f t="shared" si="9"/>
        <v>32.5</v>
      </c>
      <c r="J88" s="125">
        <f t="shared" si="10"/>
        <v>0.83977462931106295</v>
      </c>
    </row>
    <row r="89" spans="1:10" x14ac:dyDescent="0.2">
      <c r="A89" s="120">
        <f t="shared" si="1"/>
        <v>65</v>
      </c>
      <c r="B89" s="120">
        <f t="shared" si="2"/>
        <v>5</v>
      </c>
      <c r="C89" s="120">
        <f t="shared" si="3"/>
        <v>322.5</v>
      </c>
      <c r="D89" s="124">
        <f t="shared" si="4"/>
        <v>2.7500000000000002E-4</v>
      </c>
      <c r="E89" s="122">
        <f t="shared" si="5"/>
        <v>12.493688483410574</v>
      </c>
      <c r="F89" s="120">
        <f t="shared" si="6"/>
        <v>0</v>
      </c>
      <c r="G89" s="122">
        <f t="shared" si="7"/>
        <v>12.493688483410574</v>
      </c>
      <c r="H89" s="122">
        <f t="shared" si="8"/>
        <v>21.863954845968507</v>
      </c>
      <c r="I89" s="125">
        <f t="shared" si="9"/>
        <v>27.5</v>
      </c>
      <c r="J89" s="125">
        <f t="shared" si="10"/>
        <v>0.60125875826413389</v>
      </c>
    </row>
    <row r="90" spans="1:10" x14ac:dyDescent="0.2">
      <c r="A90" s="120">
        <f t="shared" si="1"/>
        <v>66</v>
      </c>
      <c r="B90" s="120">
        <f t="shared" si="2"/>
        <v>5</v>
      </c>
      <c r="C90" s="120">
        <f t="shared" si="3"/>
        <v>327.5</v>
      </c>
      <c r="D90" s="124">
        <f t="shared" si="4"/>
        <v>2.2499999999999999E-4</v>
      </c>
      <c r="E90" s="122">
        <f t="shared" si="5"/>
        <v>10.222108759154105</v>
      </c>
      <c r="F90" s="120">
        <f t="shared" si="6"/>
        <v>0</v>
      </c>
      <c r="G90" s="122">
        <f t="shared" si="7"/>
        <v>10.222108759154105</v>
      </c>
      <c r="H90" s="122">
        <f t="shared" si="8"/>
        <v>17.888690328519687</v>
      </c>
      <c r="I90" s="125">
        <f t="shared" si="9"/>
        <v>22.5</v>
      </c>
      <c r="J90" s="125">
        <f t="shared" si="10"/>
        <v>0.40249553239169295</v>
      </c>
    </row>
    <row r="91" spans="1:10" x14ac:dyDescent="0.2">
      <c r="A91" s="120">
        <f t="shared" si="1"/>
        <v>67</v>
      </c>
      <c r="B91" s="120">
        <f t="shared" si="2"/>
        <v>5</v>
      </c>
      <c r="C91" s="120">
        <f t="shared" si="3"/>
        <v>332.5</v>
      </c>
      <c r="D91" s="124">
        <f t="shared" si="4"/>
        <v>1.75E-4</v>
      </c>
      <c r="E91" s="122">
        <f t="shared" si="5"/>
        <v>7.9505290348976381</v>
      </c>
      <c r="F91" s="120">
        <f t="shared" si="6"/>
        <v>0</v>
      </c>
      <c r="G91" s="122">
        <f t="shared" si="7"/>
        <v>7.9505290348976381</v>
      </c>
      <c r="H91" s="122">
        <f t="shared" si="8"/>
        <v>13.913425811070868</v>
      </c>
      <c r="I91" s="125">
        <f t="shared" si="9"/>
        <v>17.5</v>
      </c>
      <c r="J91" s="125">
        <f t="shared" si="10"/>
        <v>0.24348495169374018</v>
      </c>
    </row>
    <row r="92" spans="1:10" x14ac:dyDescent="0.2">
      <c r="A92" s="120">
        <f t="shared" si="1"/>
        <v>68</v>
      </c>
      <c r="B92" s="120">
        <f t="shared" si="2"/>
        <v>5</v>
      </c>
      <c r="C92" s="120">
        <f t="shared" si="3"/>
        <v>337.5</v>
      </c>
      <c r="D92" s="124">
        <f t="shared" si="4"/>
        <v>1.25E-4</v>
      </c>
      <c r="E92" s="122">
        <f t="shared" si="5"/>
        <v>5.6789493106411699</v>
      </c>
      <c r="F92" s="120">
        <f t="shared" si="6"/>
        <v>0</v>
      </c>
      <c r="G92" s="122">
        <f t="shared" si="7"/>
        <v>5.6789493106411699</v>
      </c>
      <c r="H92" s="122">
        <f t="shared" si="8"/>
        <v>9.9381612936220485</v>
      </c>
      <c r="I92" s="125">
        <f t="shared" si="9"/>
        <v>12.5</v>
      </c>
      <c r="J92" s="125">
        <f t="shared" si="10"/>
        <v>0.12422701617027561</v>
      </c>
    </row>
    <row r="93" spans="1:10" x14ac:dyDescent="0.2">
      <c r="A93" s="120">
        <f t="shared" si="1"/>
        <v>69</v>
      </c>
      <c r="B93" s="120">
        <f t="shared" si="2"/>
        <v>5</v>
      </c>
      <c r="C93" s="120">
        <f t="shared" si="3"/>
        <v>342.5</v>
      </c>
      <c r="D93" s="124">
        <f t="shared" si="4"/>
        <v>7.4999999999999993E-5</v>
      </c>
      <c r="E93" s="122">
        <f t="shared" si="5"/>
        <v>3.4073695863847018</v>
      </c>
      <c r="F93" s="120">
        <f t="shared" si="6"/>
        <v>0</v>
      </c>
      <c r="G93" s="122">
        <f t="shared" si="7"/>
        <v>3.4073695863847018</v>
      </c>
      <c r="H93" s="122">
        <f t="shared" si="8"/>
        <v>5.9628967761732286</v>
      </c>
      <c r="I93" s="125">
        <f t="shared" si="9"/>
        <v>7.5</v>
      </c>
      <c r="J93" s="125">
        <f t="shared" si="10"/>
        <v>4.4721725821299213E-2</v>
      </c>
    </row>
    <row r="94" spans="1:10" x14ac:dyDescent="0.2">
      <c r="A94" s="103">
        <f t="shared" si="1"/>
        <v>70</v>
      </c>
      <c r="B94" s="103">
        <f t="shared" si="2"/>
        <v>5</v>
      </c>
      <c r="C94" s="103">
        <f t="shared" si="3"/>
        <v>347.5</v>
      </c>
      <c r="D94" s="134">
        <f t="shared" si="4"/>
        <v>2.5000000000000001E-5</v>
      </c>
      <c r="E94" s="128">
        <f t="shared" si="5"/>
        <v>1.1357898621282341</v>
      </c>
      <c r="F94" s="103">
        <f t="shared" si="6"/>
        <v>0</v>
      </c>
      <c r="G94" s="128">
        <f t="shared" si="7"/>
        <v>1.1357898621282341</v>
      </c>
      <c r="H94" s="128">
        <f t="shared" si="8"/>
        <v>1.9876322587244095</v>
      </c>
      <c r="I94" s="135">
        <f t="shared" si="9"/>
        <v>2.5</v>
      </c>
      <c r="J94" s="135">
        <f t="shared" si="10"/>
        <v>4.9690806468110239E-3</v>
      </c>
    </row>
    <row r="95" spans="1:10" x14ac:dyDescent="0.2">
      <c r="D95" s="136"/>
    </row>
  </sheetData>
  <mergeCells count="14">
    <mergeCell ref="F14:G14"/>
    <mergeCell ref="A15:B15"/>
    <mergeCell ref="A1:G1"/>
    <mergeCell ref="A2:B2"/>
    <mergeCell ref="C2:D2"/>
    <mergeCell ref="A6:B6"/>
    <mergeCell ref="F6:H6"/>
    <mergeCell ref="F7:G7"/>
    <mergeCell ref="F8:G8"/>
    <mergeCell ref="F9:G9"/>
    <mergeCell ref="F10:G10"/>
    <mergeCell ref="F11:G11"/>
    <mergeCell ref="F12:G12"/>
    <mergeCell ref="F13:G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5"/>
  <sheetViews>
    <sheetView workbookViewId="0"/>
  </sheetViews>
  <sheetFormatPr baseColWidth="10" defaultColWidth="12.5703125" defaultRowHeight="12.75" x14ac:dyDescent="0.2"/>
  <cols>
    <col min="10" max="10" width="16.7109375" customWidth="1"/>
    <col min="20" max="20" width="16.28515625" customWidth="1"/>
  </cols>
  <sheetData>
    <row r="1" spans="1:8" x14ac:dyDescent="0.2">
      <c r="A1" s="143" t="s">
        <v>0</v>
      </c>
      <c r="B1" s="144"/>
      <c r="C1" s="144"/>
      <c r="D1" s="144"/>
      <c r="E1" s="144"/>
      <c r="F1" s="144"/>
      <c r="G1" s="145"/>
    </row>
    <row r="2" spans="1:8" x14ac:dyDescent="0.2">
      <c r="A2" s="146" t="s">
        <v>1</v>
      </c>
      <c r="B2" s="145"/>
      <c r="C2" s="146" t="s">
        <v>2</v>
      </c>
      <c r="D2" s="152"/>
      <c r="E2" s="100" t="s">
        <v>95</v>
      </c>
      <c r="F2" s="101" t="s">
        <v>96</v>
      </c>
      <c r="G2" s="102" t="s">
        <v>68</v>
      </c>
    </row>
    <row r="3" spans="1:8" x14ac:dyDescent="0.2">
      <c r="A3" s="4" t="s">
        <v>3</v>
      </c>
      <c r="B3" s="5">
        <v>350</v>
      </c>
      <c r="C3" s="73" t="s">
        <v>4</v>
      </c>
      <c r="D3" s="74">
        <v>420</v>
      </c>
      <c r="E3" s="103" t="s">
        <v>97</v>
      </c>
      <c r="F3" s="104" t="s">
        <v>98</v>
      </c>
      <c r="G3" s="105">
        <f>$B$11/($B$11+$D$5)*$D$17</f>
        <v>192.18181818181822</v>
      </c>
    </row>
    <row r="4" spans="1:8" x14ac:dyDescent="0.2">
      <c r="A4" s="13" t="s">
        <v>6</v>
      </c>
      <c r="B4" s="14">
        <v>350</v>
      </c>
      <c r="C4" s="6" t="s">
        <v>7</v>
      </c>
      <c r="D4" s="7">
        <v>210</v>
      </c>
      <c r="E4" s="106" t="s">
        <v>99</v>
      </c>
      <c r="F4" s="107" t="s">
        <v>100</v>
      </c>
      <c r="G4" s="108">
        <v>5</v>
      </c>
    </row>
    <row r="5" spans="1:8" x14ac:dyDescent="0.2">
      <c r="A5" s="3" t="s">
        <v>9</v>
      </c>
      <c r="B5" s="19">
        <v>30</v>
      </c>
      <c r="C5" s="6" t="s">
        <v>10</v>
      </c>
      <c r="D5" s="20">
        <f>(D3)/(D4*1000)</f>
        <v>2E-3</v>
      </c>
    </row>
    <row r="6" spans="1:8" x14ac:dyDescent="0.2">
      <c r="A6" s="146" t="s">
        <v>12</v>
      </c>
      <c r="B6" s="145"/>
      <c r="C6" s="6" t="s">
        <v>13</v>
      </c>
      <c r="D6" s="7">
        <v>4</v>
      </c>
      <c r="F6" s="160" t="s">
        <v>51</v>
      </c>
      <c r="G6" s="144"/>
      <c r="H6" s="145"/>
    </row>
    <row r="7" spans="1:8" x14ac:dyDescent="0.2">
      <c r="A7" s="4" t="s">
        <v>15</v>
      </c>
      <c r="B7" s="25">
        <v>130</v>
      </c>
      <c r="C7" s="6" t="s">
        <v>16</v>
      </c>
      <c r="D7" s="7">
        <v>2</v>
      </c>
      <c r="F7" s="161" t="s">
        <v>82</v>
      </c>
      <c r="G7" s="162"/>
      <c r="H7" s="109">
        <f>SUMIF(H25:H94,"&gt;0",H25:H94)</f>
        <v>4849.6633257702533</v>
      </c>
    </row>
    <row r="8" spans="1:8" x14ac:dyDescent="0.2">
      <c r="A8" s="4" t="s">
        <v>87</v>
      </c>
      <c r="B8" s="77">
        <v>8.5</v>
      </c>
      <c r="C8" s="6" t="s">
        <v>19</v>
      </c>
      <c r="D8" s="7">
        <v>2</v>
      </c>
      <c r="F8" s="159" t="s">
        <v>83</v>
      </c>
      <c r="G8" s="149"/>
      <c r="H8" s="110">
        <f>SUMIF(H25:H94,"&lt;0",H25:H94)</f>
        <v>-454.41113907555706</v>
      </c>
    </row>
    <row r="9" spans="1:8" x14ac:dyDescent="0.2">
      <c r="A9" s="13" t="s">
        <v>88</v>
      </c>
      <c r="B9" s="6">
        <f>9115*1*(B7)^0.33</f>
        <v>45431.594485129361</v>
      </c>
      <c r="C9" s="6" t="s">
        <v>22</v>
      </c>
      <c r="D9" s="7">
        <v>4</v>
      </c>
      <c r="F9" s="159" t="s">
        <v>84</v>
      </c>
      <c r="G9" s="149"/>
      <c r="H9" s="111">
        <f>SUM(R25:R28)</f>
        <v>52.848662218163497</v>
      </c>
    </row>
    <row r="10" spans="1:8" x14ac:dyDescent="0.2">
      <c r="A10" s="13" t="s">
        <v>89</v>
      </c>
      <c r="B10" s="78">
        <v>0.85</v>
      </c>
      <c r="C10" s="6" t="s">
        <v>27</v>
      </c>
      <c r="D10" s="7">
        <v>16</v>
      </c>
      <c r="F10" s="159" t="s">
        <v>85</v>
      </c>
      <c r="G10" s="149"/>
      <c r="H10" s="111">
        <f>H7+H8+H9</f>
        <v>4448.1008489128599</v>
      </c>
    </row>
    <row r="11" spans="1:8" x14ac:dyDescent="0.2">
      <c r="A11" s="3" t="s">
        <v>24</v>
      </c>
      <c r="B11" s="79">
        <v>3.5000000000000001E-3</v>
      </c>
      <c r="C11" s="6" t="s">
        <v>30</v>
      </c>
      <c r="D11" s="7">
        <v>16</v>
      </c>
      <c r="F11" s="159" t="s">
        <v>101</v>
      </c>
      <c r="G11" s="149"/>
      <c r="H11" s="112">
        <f>SUM(J25:J94)</f>
        <v>636.19586588526931</v>
      </c>
    </row>
    <row r="12" spans="1:8" x14ac:dyDescent="0.2">
      <c r="A12" s="3" t="s">
        <v>91</v>
      </c>
      <c r="B12" s="79">
        <v>4.4999999999999997E-3</v>
      </c>
      <c r="C12" s="6" t="s">
        <v>33</v>
      </c>
      <c r="D12" s="7">
        <v>16</v>
      </c>
      <c r="F12" s="159" t="s">
        <v>102</v>
      </c>
      <c r="G12" s="149"/>
      <c r="H12" s="111">
        <f>SUM(T25:T28)</f>
        <v>92.217444296798945</v>
      </c>
    </row>
    <row r="13" spans="1:8" x14ac:dyDescent="0.2">
      <c r="A13" s="3" t="s">
        <v>92</v>
      </c>
      <c r="B13" s="80">
        <f>B10*B7/B9</f>
        <v>2.4322280838320297E-3</v>
      </c>
      <c r="C13" s="6" t="s">
        <v>36</v>
      </c>
      <c r="D13" s="7">
        <v>16</v>
      </c>
      <c r="F13" s="159" t="s">
        <v>103</v>
      </c>
      <c r="G13" s="149"/>
      <c r="H13" s="112">
        <f>H11+H12</f>
        <v>728.41331018206824</v>
      </c>
    </row>
    <row r="14" spans="1:8" x14ac:dyDescent="0.2">
      <c r="A14" s="3" t="s">
        <v>93</v>
      </c>
      <c r="B14" s="81">
        <f>B8/B9</f>
        <v>1.8709446798707922E-4</v>
      </c>
      <c r="C14" s="6" t="s">
        <v>42</v>
      </c>
      <c r="D14" s="34">
        <f>B5+10+D10/2</f>
        <v>48</v>
      </c>
      <c r="F14" s="159" t="s">
        <v>86</v>
      </c>
      <c r="G14" s="149"/>
      <c r="H14" s="112">
        <f>H13+H10*($B$4/2-$G$3)/1000</f>
        <v>651.98685014165619</v>
      </c>
    </row>
    <row r="15" spans="1:8" x14ac:dyDescent="0.2">
      <c r="A15" s="146" t="s">
        <v>26</v>
      </c>
      <c r="B15" s="145"/>
      <c r="C15" s="33" t="s">
        <v>45</v>
      </c>
      <c r="D15" s="34">
        <f>D14+((D17-D14)/3)</f>
        <v>132.66666666666669</v>
      </c>
    </row>
    <row r="16" spans="1:8" x14ac:dyDescent="0.2">
      <c r="A16" s="73" t="s">
        <v>29</v>
      </c>
      <c r="B16" s="82">
        <f>B4*B3</f>
        <v>122500</v>
      </c>
      <c r="C16" s="6" t="s">
        <v>47</v>
      </c>
      <c r="D16" s="34">
        <f>D14+(2*(D17-D14)/3)</f>
        <v>217.33333333333334</v>
      </c>
    </row>
    <row r="17" spans="1:20" x14ac:dyDescent="0.2">
      <c r="A17" s="6" t="s">
        <v>32</v>
      </c>
      <c r="B17" s="33">
        <f t="shared" ref="B17:B20" si="0">(PI()/4)*(D10^2)*D6</f>
        <v>804.24771931898704</v>
      </c>
      <c r="C17" s="6" t="s">
        <v>48</v>
      </c>
      <c r="D17" s="34">
        <f>350-B5-10-D13/2</f>
        <v>302</v>
      </c>
    </row>
    <row r="18" spans="1:20" x14ac:dyDescent="0.2">
      <c r="A18" s="6" t="s">
        <v>35</v>
      </c>
      <c r="B18" s="33">
        <f t="shared" si="0"/>
        <v>402.12385965949352</v>
      </c>
    </row>
    <row r="19" spans="1:20" x14ac:dyDescent="0.2">
      <c r="A19" s="6" t="s">
        <v>38</v>
      </c>
      <c r="B19" s="33">
        <f t="shared" si="0"/>
        <v>402.12385965949352</v>
      </c>
    </row>
    <row r="20" spans="1:20" x14ac:dyDescent="0.2">
      <c r="A20" s="6" t="s">
        <v>41</v>
      </c>
      <c r="B20" s="33">
        <f t="shared" si="0"/>
        <v>804.24771931898704</v>
      </c>
    </row>
    <row r="21" spans="1:20" x14ac:dyDescent="0.2">
      <c r="A21" s="6" t="s">
        <v>46</v>
      </c>
      <c r="B21" s="33">
        <f>B17+B18+B19+B20</f>
        <v>2412.7431579569611</v>
      </c>
    </row>
    <row r="24" spans="1:20" x14ac:dyDescent="0.2">
      <c r="A24" s="106" t="s">
        <v>104</v>
      </c>
      <c r="B24" s="106" t="s">
        <v>100</v>
      </c>
      <c r="C24" s="106" t="s">
        <v>105</v>
      </c>
      <c r="D24" s="106" t="s">
        <v>106</v>
      </c>
      <c r="E24" s="106" t="s">
        <v>107</v>
      </c>
      <c r="F24" s="106" t="s">
        <v>108</v>
      </c>
      <c r="G24" s="106" t="s">
        <v>109</v>
      </c>
      <c r="H24" s="106" t="s">
        <v>110</v>
      </c>
      <c r="I24" s="106" t="s">
        <v>111</v>
      </c>
      <c r="J24" s="106" t="s">
        <v>101</v>
      </c>
      <c r="L24" s="113" t="s">
        <v>112</v>
      </c>
      <c r="M24" s="114" t="s">
        <v>113</v>
      </c>
      <c r="N24" s="114" t="s">
        <v>114</v>
      </c>
      <c r="O24" s="114" t="s">
        <v>65</v>
      </c>
      <c r="P24" s="114" t="s">
        <v>115</v>
      </c>
      <c r="Q24" s="114" t="s">
        <v>116</v>
      </c>
      <c r="R24" s="114" t="s">
        <v>117</v>
      </c>
      <c r="S24" s="114" t="s">
        <v>118</v>
      </c>
      <c r="T24" s="115" t="s">
        <v>102</v>
      </c>
    </row>
    <row r="25" spans="1:20" x14ac:dyDescent="0.2">
      <c r="A25" s="116">
        <f t="shared" ref="A25:A94" si="1">ROW()-24</f>
        <v>1</v>
      </c>
      <c r="B25" s="116">
        <f t="shared" ref="B25:B94" si="2">$G$4</f>
        <v>5</v>
      </c>
      <c r="C25" s="116">
        <f t="shared" ref="C25:C94" si="3">(A25-0.5)*$G$4</f>
        <v>2.5</v>
      </c>
      <c r="D25" s="117">
        <f t="shared" ref="D25:D94" si="4">$B$11*($G$3-C25)/$G$3</f>
        <v>3.4544701986754969E-3</v>
      </c>
      <c r="E25" s="118">
        <f t="shared" ref="E25:E94" si="5">IF(D25&gt;=0,MIN($B$9*D25,$B$10*$B$7),0)</f>
        <v>110.5</v>
      </c>
      <c r="F25" s="116">
        <f t="shared" ref="F25:F94" si="6">IF(D25&lt;0,IF(ABS(D25)&lt;=$B$12,-MIN($B$9*ABS(D25),$B$8),0),0)</f>
        <v>0</v>
      </c>
      <c r="G25" s="118">
        <f t="shared" ref="G25:G94" si="7">E25+F25</f>
        <v>110.5</v>
      </c>
      <c r="H25" s="116">
        <f t="shared" ref="H25:H94" si="8">G25*$B$3*B25/1000</f>
        <v>193.375</v>
      </c>
      <c r="I25" s="119">
        <f t="shared" ref="I25:I94" si="9">$G$3-C25</f>
        <v>189.68181818181822</v>
      </c>
      <c r="J25" s="119">
        <f t="shared" ref="J25:J94" si="10">H25*I25/1000</f>
        <v>36.679721590909097</v>
      </c>
      <c r="L25" s="120">
        <f>1</f>
        <v>1</v>
      </c>
      <c r="M25" s="121">
        <f t="shared" ref="M25:M28" si="11">D6</f>
        <v>4</v>
      </c>
      <c r="N25" s="122">
        <f t="shared" ref="N25:N28" si="12">B17</f>
        <v>804.24771931898704</v>
      </c>
      <c r="O25" s="123">
        <f t="shared" ref="O25:O28" si="13">D14</f>
        <v>48</v>
      </c>
      <c r="P25" s="124">
        <f t="shared" ref="P25:P28" si="14">$B$11*($G$3-O25)/$G$3</f>
        <v>2.6258278145695367E-3</v>
      </c>
      <c r="Q25" s="121">
        <f t="shared" ref="Q25:Q28" si="15">MAX(-$D$3,MIN($D$3,$D$4*1000*P25))</f>
        <v>420</v>
      </c>
      <c r="R25" s="122">
        <f t="shared" ref="R25:R28" si="16">Q25*N25/1000</f>
        <v>337.78404211397458</v>
      </c>
      <c r="S25" s="123">
        <f t="shared" ref="S25:S28" si="17">$G$3-O25</f>
        <v>144.18181818181822</v>
      </c>
      <c r="T25" s="122">
        <f t="shared" ref="T25:T28" si="18">R25*S25/1000</f>
        <v>48.702317344796711</v>
      </c>
    </row>
    <row r="26" spans="1:20" x14ac:dyDescent="0.2">
      <c r="A26" s="120">
        <f t="shared" si="1"/>
        <v>2</v>
      </c>
      <c r="B26" s="120">
        <f t="shared" si="2"/>
        <v>5</v>
      </c>
      <c r="C26" s="120">
        <f t="shared" si="3"/>
        <v>7.5</v>
      </c>
      <c r="D26" s="124">
        <f t="shared" si="4"/>
        <v>3.3634105960264906E-3</v>
      </c>
      <c r="E26" s="122">
        <f t="shared" si="5"/>
        <v>110.5</v>
      </c>
      <c r="F26" s="120">
        <f t="shared" si="6"/>
        <v>0</v>
      </c>
      <c r="G26" s="122">
        <f t="shared" si="7"/>
        <v>110.5</v>
      </c>
      <c r="H26" s="120">
        <f t="shared" si="8"/>
        <v>193.375</v>
      </c>
      <c r="I26" s="125">
        <f t="shared" si="9"/>
        <v>184.68181818181822</v>
      </c>
      <c r="J26" s="125">
        <f t="shared" si="10"/>
        <v>35.712846590909095</v>
      </c>
      <c r="L26" s="120">
        <f>2</f>
        <v>2</v>
      </c>
      <c r="M26" s="121">
        <f t="shared" si="11"/>
        <v>2</v>
      </c>
      <c r="N26" s="122">
        <f t="shared" si="12"/>
        <v>402.12385965949352</v>
      </c>
      <c r="O26" s="123">
        <f t="shared" si="13"/>
        <v>132.66666666666669</v>
      </c>
      <c r="P26" s="126">
        <f t="shared" si="14"/>
        <v>1.0838852097130244E-3</v>
      </c>
      <c r="Q26" s="121">
        <f t="shared" si="15"/>
        <v>227.61589403973514</v>
      </c>
      <c r="R26" s="122">
        <f t="shared" si="16"/>
        <v>91.5297818311046</v>
      </c>
      <c r="S26" s="123">
        <f t="shared" si="17"/>
        <v>59.51515151515153</v>
      </c>
      <c r="T26" s="122">
        <f t="shared" si="18"/>
        <v>5.4474088338269535</v>
      </c>
    </row>
    <row r="27" spans="1:20" x14ac:dyDescent="0.2">
      <c r="A27" s="120">
        <f t="shared" si="1"/>
        <v>3</v>
      </c>
      <c r="B27" s="120">
        <f t="shared" si="2"/>
        <v>5</v>
      </c>
      <c r="C27" s="120">
        <f t="shared" si="3"/>
        <v>12.5</v>
      </c>
      <c r="D27" s="124">
        <f t="shared" si="4"/>
        <v>3.2723509933774834E-3</v>
      </c>
      <c r="E27" s="122">
        <f t="shared" si="5"/>
        <v>110.5</v>
      </c>
      <c r="F27" s="120">
        <f t="shared" si="6"/>
        <v>0</v>
      </c>
      <c r="G27" s="122">
        <f t="shared" si="7"/>
        <v>110.5</v>
      </c>
      <c r="H27" s="120">
        <f t="shared" si="8"/>
        <v>193.375</v>
      </c>
      <c r="I27" s="125">
        <f t="shared" si="9"/>
        <v>179.68181818181822</v>
      </c>
      <c r="J27" s="125">
        <f t="shared" si="10"/>
        <v>34.745971590909093</v>
      </c>
      <c r="L27" s="120">
        <v>3</v>
      </c>
      <c r="M27" s="121">
        <f t="shared" si="11"/>
        <v>2</v>
      </c>
      <c r="N27" s="122">
        <f t="shared" si="12"/>
        <v>402.12385965949352</v>
      </c>
      <c r="O27" s="123">
        <f t="shared" si="13"/>
        <v>217.33333333333334</v>
      </c>
      <c r="P27" s="126">
        <f t="shared" si="14"/>
        <v>-4.5805739514348732E-4</v>
      </c>
      <c r="Q27" s="121">
        <f t="shared" si="15"/>
        <v>-96.192052980132331</v>
      </c>
      <c r="R27" s="122">
        <f t="shared" si="16"/>
        <v>-38.681119612941302</v>
      </c>
      <c r="S27" s="123">
        <f t="shared" si="17"/>
        <v>-25.151515151515127</v>
      </c>
      <c r="T27" s="122">
        <f t="shared" si="18"/>
        <v>0.97288876602246221</v>
      </c>
    </row>
    <row r="28" spans="1:20" x14ac:dyDescent="0.2">
      <c r="A28" s="120">
        <f t="shared" si="1"/>
        <v>4</v>
      </c>
      <c r="B28" s="120">
        <f t="shared" si="2"/>
        <v>5</v>
      </c>
      <c r="C28" s="120">
        <f t="shared" si="3"/>
        <v>17.5</v>
      </c>
      <c r="D28" s="124">
        <f t="shared" si="4"/>
        <v>3.1812913907284771E-3</v>
      </c>
      <c r="E28" s="122">
        <f t="shared" si="5"/>
        <v>110.5</v>
      </c>
      <c r="F28" s="120">
        <f t="shared" si="6"/>
        <v>0</v>
      </c>
      <c r="G28" s="122">
        <f t="shared" si="7"/>
        <v>110.5</v>
      </c>
      <c r="H28" s="120">
        <f t="shared" si="8"/>
        <v>193.375</v>
      </c>
      <c r="I28" s="125">
        <f t="shared" si="9"/>
        <v>174.68181818181822</v>
      </c>
      <c r="J28" s="125">
        <f t="shared" si="10"/>
        <v>33.779096590909099</v>
      </c>
      <c r="L28" s="103">
        <v>4</v>
      </c>
      <c r="M28" s="127">
        <f t="shared" si="11"/>
        <v>4</v>
      </c>
      <c r="N28" s="128">
        <f t="shared" si="12"/>
        <v>804.24771931898704</v>
      </c>
      <c r="O28" s="129">
        <f t="shared" si="13"/>
        <v>302</v>
      </c>
      <c r="P28" s="103">
        <f t="shared" si="14"/>
        <v>-1.9999999999999992E-3</v>
      </c>
      <c r="Q28" s="127">
        <f t="shared" si="15"/>
        <v>-419.99999999999983</v>
      </c>
      <c r="R28" s="128">
        <f t="shared" si="16"/>
        <v>-337.78404211397441</v>
      </c>
      <c r="S28" s="129">
        <f t="shared" si="17"/>
        <v>-109.81818181818178</v>
      </c>
      <c r="T28" s="128">
        <f t="shared" si="18"/>
        <v>37.094829352152814</v>
      </c>
    </row>
    <row r="29" spans="1:20" x14ac:dyDescent="0.2">
      <c r="A29" s="120">
        <f t="shared" si="1"/>
        <v>5</v>
      </c>
      <c r="B29" s="120">
        <f t="shared" si="2"/>
        <v>5</v>
      </c>
      <c r="C29" s="120">
        <f t="shared" si="3"/>
        <v>22.5</v>
      </c>
      <c r="D29" s="124">
        <f t="shared" si="4"/>
        <v>3.0902317880794699E-3</v>
      </c>
      <c r="E29" s="122">
        <f t="shared" si="5"/>
        <v>110.5</v>
      </c>
      <c r="F29" s="120">
        <f t="shared" si="6"/>
        <v>0</v>
      </c>
      <c r="G29" s="122">
        <f t="shared" si="7"/>
        <v>110.5</v>
      </c>
      <c r="H29" s="120">
        <f t="shared" si="8"/>
        <v>193.375</v>
      </c>
      <c r="I29" s="125">
        <f t="shared" si="9"/>
        <v>169.68181818181822</v>
      </c>
      <c r="J29" s="125">
        <f t="shared" si="10"/>
        <v>32.812221590909097</v>
      </c>
      <c r="R29" s="130"/>
    </row>
    <row r="30" spans="1:20" x14ac:dyDescent="0.2">
      <c r="A30" s="120">
        <f t="shared" si="1"/>
        <v>6</v>
      </c>
      <c r="B30" s="120">
        <f t="shared" si="2"/>
        <v>5</v>
      </c>
      <c r="C30" s="120">
        <f t="shared" si="3"/>
        <v>27.5</v>
      </c>
      <c r="D30" s="124">
        <f t="shared" si="4"/>
        <v>2.9991721854304636E-3</v>
      </c>
      <c r="E30" s="122">
        <f t="shared" si="5"/>
        <v>110.5</v>
      </c>
      <c r="F30" s="120">
        <f t="shared" si="6"/>
        <v>0</v>
      </c>
      <c r="G30" s="122">
        <f t="shared" si="7"/>
        <v>110.5</v>
      </c>
      <c r="H30" s="120">
        <f t="shared" si="8"/>
        <v>193.375</v>
      </c>
      <c r="I30" s="125">
        <f t="shared" si="9"/>
        <v>164.68181818181822</v>
      </c>
      <c r="J30" s="125">
        <f t="shared" si="10"/>
        <v>31.845346590909099</v>
      </c>
    </row>
    <row r="31" spans="1:20" x14ac:dyDescent="0.2">
      <c r="A31" s="120">
        <f t="shared" si="1"/>
        <v>7</v>
      </c>
      <c r="B31" s="120">
        <f t="shared" si="2"/>
        <v>5</v>
      </c>
      <c r="C31" s="120">
        <f t="shared" si="3"/>
        <v>32.5</v>
      </c>
      <c r="D31" s="124">
        <f t="shared" si="4"/>
        <v>2.9081125827814572E-3</v>
      </c>
      <c r="E31" s="122">
        <f t="shared" si="5"/>
        <v>110.5</v>
      </c>
      <c r="F31" s="120">
        <f t="shared" si="6"/>
        <v>0</v>
      </c>
      <c r="G31" s="122">
        <f t="shared" si="7"/>
        <v>110.5</v>
      </c>
      <c r="H31" s="120">
        <f t="shared" si="8"/>
        <v>193.375</v>
      </c>
      <c r="I31" s="125">
        <f t="shared" si="9"/>
        <v>159.68181818181822</v>
      </c>
      <c r="J31" s="125">
        <f t="shared" si="10"/>
        <v>30.878471590909101</v>
      </c>
    </row>
    <row r="32" spans="1:20" x14ac:dyDescent="0.2">
      <c r="A32" s="120">
        <f t="shared" si="1"/>
        <v>8</v>
      </c>
      <c r="B32" s="120">
        <f t="shared" si="2"/>
        <v>5</v>
      </c>
      <c r="C32" s="120">
        <f t="shared" si="3"/>
        <v>37.5</v>
      </c>
      <c r="D32" s="124">
        <f t="shared" si="4"/>
        <v>2.8170529801324505E-3</v>
      </c>
      <c r="E32" s="122">
        <f t="shared" si="5"/>
        <v>110.5</v>
      </c>
      <c r="F32" s="120">
        <f t="shared" si="6"/>
        <v>0</v>
      </c>
      <c r="G32" s="122">
        <f t="shared" si="7"/>
        <v>110.5</v>
      </c>
      <c r="H32" s="120">
        <f t="shared" si="8"/>
        <v>193.375</v>
      </c>
      <c r="I32" s="125">
        <f t="shared" si="9"/>
        <v>154.68181818181822</v>
      </c>
      <c r="J32" s="125">
        <f t="shared" si="10"/>
        <v>29.911596590909099</v>
      </c>
    </row>
    <row r="33" spans="1:19" x14ac:dyDescent="0.2">
      <c r="A33" s="120">
        <f t="shared" si="1"/>
        <v>9</v>
      </c>
      <c r="B33" s="120">
        <f t="shared" si="2"/>
        <v>5</v>
      </c>
      <c r="C33" s="120">
        <f t="shared" si="3"/>
        <v>42.5</v>
      </c>
      <c r="D33" s="124">
        <f t="shared" si="4"/>
        <v>2.7259933774834437E-3</v>
      </c>
      <c r="E33" s="122">
        <f t="shared" si="5"/>
        <v>110.5</v>
      </c>
      <c r="F33" s="120">
        <f t="shared" si="6"/>
        <v>0</v>
      </c>
      <c r="G33" s="122">
        <f t="shared" si="7"/>
        <v>110.5</v>
      </c>
      <c r="H33" s="120">
        <f t="shared" si="8"/>
        <v>193.375</v>
      </c>
      <c r="I33" s="125">
        <f t="shared" si="9"/>
        <v>149.68181818181822</v>
      </c>
      <c r="J33" s="125">
        <f t="shared" si="10"/>
        <v>28.944721590909101</v>
      </c>
    </row>
    <row r="34" spans="1:19" x14ac:dyDescent="0.2">
      <c r="A34" s="120">
        <f t="shared" si="1"/>
        <v>10</v>
      </c>
      <c r="B34" s="120">
        <f t="shared" si="2"/>
        <v>5</v>
      </c>
      <c r="C34" s="120">
        <f t="shared" si="3"/>
        <v>47.5</v>
      </c>
      <c r="D34" s="124">
        <f t="shared" si="4"/>
        <v>2.6349337748344374E-3</v>
      </c>
      <c r="E34" s="122">
        <f t="shared" si="5"/>
        <v>110.5</v>
      </c>
      <c r="F34" s="120">
        <f t="shared" si="6"/>
        <v>0</v>
      </c>
      <c r="G34" s="122">
        <f t="shared" si="7"/>
        <v>110.5</v>
      </c>
      <c r="H34" s="120">
        <f t="shared" si="8"/>
        <v>193.375</v>
      </c>
      <c r="I34" s="125">
        <f t="shared" si="9"/>
        <v>144.68181818181822</v>
      </c>
      <c r="J34" s="125">
        <f t="shared" si="10"/>
        <v>27.977846590909099</v>
      </c>
      <c r="M34" s="131"/>
      <c r="N34" s="130"/>
      <c r="O34" s="132"/>
      <c r="Q34" s="131"/>
      <c r="S34" s="132"/>
    </row>
    <row r="35" spans="1:19" x14ac:dyDescent="0.2">
      <c r="A35" s="120">
        <f t="shared" si="1"/>
        <v>11</v>
      </c>
      <c r="B35" s="120">
        <f t="shared" si="2"/>
        <v>5</v>
      </c>
      <c r="C35" s="120">
        <f t="shared" si="3"/>
        <v>52.5</v>
      </c>
      <c r="D35" s="124">
        <f t="shared" si="4"/>
        <v>2.5438741721854306E-3</v>
      </c>
      <c r="E35" s="122">
        <f t="shared" si="5"/>
        <v>110.5</v>
      </c>
      <c r="F35" s="120">
        <f t="shared" si="6"/>
        <v>0</v>
      </c>
      <c r="G35" s="122">
        <f t="shared" si="7"/>
        <v>110.5</v>
      </c>
      <c r="H35" s="122">
        <f t="shared" si="8"/>
        <v>193.375</v>
      </c>
      <c r="I35" s="125">
        <f t="shared" si="9"/>
        <v>139.68181818181822</v>
      </c>
      <c r="J35" s="125">
        <f t="shared" si="10"/>
        <v>27.010971590909101</v>
      </c>
    </row>
    <row r="36" spans="1:19" x14ac:dyDescent="0.2">
      <c r="A36" s="120">
        <f t="shared" si="1"/>
        <v>12</v>
      </c>
      <c r="B36" s="120">
        <f t="shared" si="2"/>
        <v>5</v>
      </c>
      <c r="C36" s="120">
        <f t="shared" si="3"/>
        <v>57.5</v>
      </c>
      <c r="D36" s="124">
        <f t="shared" si="4"/>
        <v>2.4528145695364243E-3</v>
      </c>
      <c r="E36" s="122">
        <f t="shared" si="5"/>
        <v>110.5</v>
      </c>
      <c r="F36" s="120">
        <f t="shared" si="6"/>
        <v>0</v>
      </c>
      <c r="G36" s="122">
        <f t="shared" si="7"/>
        <v>110.5</v>
      </c>
      <c r="H36" s="122">
        <f t="shared" si="8"/>
        <v>193.375</v>
      </c>
      <c r="I36" s="125">
        <f t="shared" si="9"/>
        <v>134.68181818181822</v>
      </c>
      <c r="J36" s="125">
        <f t="shared" si="10"/>
        <v>26.044096590909099</v>
      </c>
    </row>
    <row r="37" spans="1:19" x14ac:dyDescent="0.2">
      <c r="A37" s="120">
        <f t="shared" si="1"/>
        <v>13</v>
      </c>
      <c r="B37" s="120">
        <f t="shared" si="2"/>
        <v>5</v>
      </c>
      <c r="C37" s="120">
        <f t="shared" si="3"/>
        <v>62.5</v>
      </c>
      <c r="D37" s="124">
        <f t="shared" si="4"/>
        <v>2.3617549668874175E-3</v>
      </c>
      <c r="E37" s="122">
        <f t="shared" si="5"/>
        <v>107.29829392886927</v>
      </c>
      <c r="F37" s="120">
        <f t="shared" si="6"/>
        <v>0</v>
      </c>
      <c r="G37" s="122">
        <f t="shared" si="7"/>
        <v>107.29829392886927</v>
      </c>
      <c r="H37" s="122">
        <f t="shared" si="8"/>
        <v>187.77201437552122</v>
      </c>
      <c r="I37" s="125">
        <f t="shared" si="9"/>
        <v>129.68181818181822</v>
      </c>
      <c r="J37" s="125">
        <f t="shared" si="10"/>
        <v>24.350616227880099</v>
      </c>
    </row>
    <row r="38" spans="1:19" x14ac:dyDescent="0.2">
      <c r="A38" s="120">
        <f t="shared" si="1"/>
        <v>14</v>
      </c>
      <c r="B38" s="120">
        <f t="shared" si="2"/>
        <v>5</v>
      </c>
      <c r="C38" s="120">
        <f t="shared" si="3"/>
        <v>67.5</v>
      </c>
      <c r="D38" s="124">
        <f t="shared" si="4"/>
        <v>2.2706953642384108E-3</v>
      </c>
      <c r="E38" s="122">
        <f t="shared" si="5"/>
        <v>103.16131098734259</v>
      </c>
      <c r="F38" s="120">
        <f t="shared" si="6"/>
        <v>0</v>
      </c>
      <c r="G38" s="122">
        <f t="shared" si="7"/>
        <v>103.16131098734259</v>
      </c>
      <c r="H38" s="122">
        <f t="shared" si="8"/>
        <v>180.53229422784952</v>
      </c>
      <c r="I38" s="125">
        <f t="shared" si="9"/>
        <v>124.68181818181822</v>
      </c>
      <c r="J38" s="125">
        <f t="shared" si="10"/>
        <v>22.509094684863246</v>
      </c>
    </row>
    <row r="39" spans="1:19" x14ac:dyDescent="0.2">
      <c r="A39" s="120">
        <f t="shared" si="1"/>
        <v>15</v>
      </c>
      <c r="B39" s="120">
        <f t="shared" si="2"/>
        <v>5</v>
      </c>
      <c r="C39" s="120">
        <f t="shared" si="3"/>
        <v>72.5</v>
      </c>
      <c r="D39" s="124">
        <f t="shared" si="4"/>
        <v>2.1796357615894045E-3</v>
      </c>
      <c r="E39" s="122">
        <f t="shared" si="5"/>
        <v>99.024328045815921</v>
      </c>
      <c r="F39" s="120">
        <f t="shared" si="6"/>
        <v>0</v>
      </c>
      <c r="G39" s="122">
        <f t="shared" si="7"/>
        <v>99.024328045815921</v>
      </c>
      <c r="H39" s="122">
        <f t="shared" si="8"/>
        <v>173.29257408017787</v>
      </c>
      <c r="I39" s="125">
        <f t="shared" si="9"/>
        <v>119.68181818181822</v>
      </c>
      <c r="J39" s="125">
        <f t="shared" si="10"/>
        <v>20.739970343323112</v>
      </c>
    </row>
    <row r="40" spans="1:19" x14ac:dyDescent="0.2">
      <c r="A40" s="120">
        <f t="shared" si="1"/>
        <v>16</v>
      </c>
      <c r="B40" s="120">
        <f t="shared" si="2"/>
        <v>5</v>
      </c>
      <c r="C40" s="120">
        <f t="shared" si="3"/>
        <v>77.5</v>
      </c>
      <c r="D40" s="124">
        <f t="shared" si="4"/>
        <v>2.0885761589403977E-3</v>
      </c>
      <c r="E40" s="122">
        <f t="shared" si="5"/>
        <v>94.887345104289238</v>
      </c>
      <c r="F40" s="120">
        <f t="shared" si="6"/>
        <v>0</v>
      </c>
      <c r="G40" s="122">
        <f t="shared" si="7"/>
        <v>94.887345104289238</v>
      </c>
      <c r="H40" s="122">
        <f t="shared" si="8"/>
        <v>166.05285393250614</v>
      </c>
      <c r="I40" s="125">
        <f t="shared" si="9"/>
        <v>114.68181818181822</v>
      </c>
      <c r="J40" s="125">
        <f t="shared" si="10"/>
        <v>19.043243203259689</v>
      </c>
    </row>
    <row r="41" spans="1:19" x14ac:dyDescent="0.2">
      <c r="A41" s="120">
        <f t="shared" si="1"/>
        <v>17</v>
      </c>
      <c r="B41" s="120">
        <f t="shared" si="2"/>
        <v>5</v>
      </c>
      <c r="C41" s="120">
        <f t="shared" si="3"/>
        <v>82.5</v>
      </c>
      <c r="D41" s="124">
        <f t="shared" si="4"/>
        <v>1.997516556291391E-3</v>
      </c>
      <c r="E41" s="122">
        <f t="shared" si="5"/>
        <v>90.750362162762556</v>
      </c>
      <c r="F41" s="120">
        <f t="shared" si="6"/>
        <v>0</v>
      </c>
      <c r="G41" s="122">
        <f t="shared" si="7"/>
        <v>90.750362162762556</v>
      </c>
      <c r="H41" s="122">
        <f t="shared" si="8"/>
        <v>158.81313378483446</v>
      </c>
      <c r="I41" s="125">
        <f t="shared" si="9"/>
        <v>109.68181818181822</v>
      </c>
      <c r="J41" s="125">
        <f t="shared" si="10"/>
        <v>17.418913264672984</v>
      </c>
    </row>
    <row r="42" spans="1:19" x14ac:dyDescent="0.2">
      <c r="A42" s="120">
        <f t="shared" si="1"/>
        <v>18</v>
      </c>
      <c r="B42" s="120">
        <f t="shared" si="2"/>
        <v>5</v>
      </c>
      <c r="C42" s="120">
        <f t="shared" si="3"/>
        <v>87.5</v>
      </c>
      <c r="D42" s="124">
        <f t="shared" si="4"/>
        <v>1.9064569536423846E-3</v>
      </c>
      <c r="E42" s="122">
        <f t="shared" si="5"/>
        <v>86.613379221235888</v>
      </c>
      <c r="F42" s="120">
        <f t="shared" si="6"/>
        <v>0</v>
      </c>
      <c r="G42" s="122">
        <f t="shared" si="7"/>
        <v>86.613379221235888</v>
      </c>
      <c r="H42" s="122">
        <f t="shared" si="8"/>
        <v>151.57341363716282</v>
      </c>
      <c r="I42" s="125">
        <f t="shared" si="9"/>
        <v>104.68181818181822</v>
      </c>
      <c r="J42" s="125">
        <f t="shared" si="10"/>
        <v>15.866980527563005</v>
      </c>
    </row>
    <row r="43" spans="1:19" x14ac:dyDescent="0.2">
      <c r="A43" s="120">
        <f t="shared" si="1"/>
        <v>19</v>
      </c>
      <c r="B43" s="120">
        <f t="shared" si="2"/>
        <v>5</v>
      </c>
      <c r="C43" s="120">
        <f t="shared" si="3"/>
        <v>92.5</v>
      </c>
      <c r="D43" s="124">
        <f t="shared" si="4"/>
        <v>1.8153973509933779E-3</v>
      </c>
      <c r="E43" s="122">
        <f t="shared" si="5"/>
        <v>82.476396279709192</v>
      </c>
      <c r="F43" s="120">
        <f t="shared" si="6"/>
        <v>0</v>
      </c>
      <c r="G43" s="122">
        <f t="shared" si="7"/>
        <v>82.476396279709192</v>
      </c>
      <c r="H43" s="122">
        <f t="shared" si="8"/>
        <v>144.33369348949108</v>
      </c>
      <c r="I43" s="125">
        <f t="shared" si="9"/>
        <v>99.681818181818215</v>
      </c>
      <c r="J43" s="125">
        <f t="shared" si="10"/>
        <v>14.38744499192973</v>
      </c>
    </row>
    <row r="44" spans="1:19" x14ac:dyDescent="0.2">
      <c r="A44" s="120">
        <f t="shared" si="1"/>
        <v>20</v>
      </c>
      <c r="B44" s="120">
        <f t="shared" si="2"/>
        <v>5</v>
      </c>
      <c r="C44" s="120">
        <f t="shared" si="3"/>
        <v>97.5</v>
      </c>
      <c r="D44" s="124">
        <f t="shared" si="4"/>
        <v>1.7243377483443711E-3</v>
      </c>
      <c r="E44" s="122">
        <f t="shared" si="5"/>
        <v>78.33941333818251</v>
      </c>
      <c r="F44" s="120">
        <f t="shared" si="6"/>
        <v>0</v>
      </c>
      <c r="G44" s="122">
        <f t="shared" si="7"/>
        <v>78.33941333818251</v>
      </c>
      <c r="H44" s="122">
        <f t="shared" si="8"/>
        <v>137.09397334181941</v>
      </c>
      <c r="I44" s="125">
        <f t="shared" si="9"/>
        <v>94.681818181818215</v>
      </c>
      <c r="J44" s="125">
        <f t="shared" si="10"/>
        <v>12.980306657773179</v>
      </c>
    </row>
    <row r="45" spans="1:19" x14ac:dyDescent="0.2">
      <c r="A45" s="120">
        <f t="shared" si="1"/>
        <v>21</v>
      </c>
      <c r="B45" s="120">
        <f t="shared" si="2"/>
        <v>5</v>
      </c>
      <c r="C45" s="120">
        <f t="shared" si="3"/>
        <v>102.5</v>
      </c>
      <c r="D45" s="124">
        <f t="shared" si="4"/>
        <v>1.6332781456953646E-3</v>
      </c>
      <c r="E45" s="122">
        <f t="shared" si="5"/>
        <v>74.202430396655828</v>
      </c>
      <c r="F45" s="120">
        <f t="shared" si="6"/>
        <v>0</v>
      </c>
      <c r="G45" s="122">
        <f t="shared" si="7"/>
        <v>74.202430396655828</v>
      </c>
      <c r="H45" s="122">
        <f t="shared" si="8"/>
        <v>129.8542531941477</v>
      </c>
      <c r="I45" s="125">
        <f t="shared" si="9"/>
        <v>89.681818181818215</v>
      </c>
      <c r="J45" s="125">
        <f t="shared" si="10"/>
        <v>11.645565525093341</v>
      </c>
    </row>
    <row r="46" spans="1:19" x14ac:dyDescent="0.2">
      <c r="A46" s="120">
        <f t="shared" si="1"/>
        <v>22</v>
      </c>
      <c r="B46" s="120">
        <f t="shared" si="2"/>
        <v>5</v>
      </c>
      <c r="C46" s="120">
        <f t="shared" si="3"/>
        <v>107.5</v>
      </c>
      <c r="D46" s="124">
        <f t="shared" si="4"/>
        <v>1.542218543046358E-3</v>
      </c>
      <c r="E46" s="122">
        <f t="shared" si="5"/>
        <v>70.06544745512916</v>
      </c>
      <c r="F46" s="120">
        <f t="shared" si="6"/>
        <v>0</v>
      </c>
      <c r="G46" s="122">
        <f t="shared" si="7"/>
        <v>70.06544745512916</v>
      </c>
      <c r="H46" s="122">
        <f t="shared" si="8"/>
        <v>122.61453304647601</v>
      </c>
      <c r="I46" s="125">
        <f t="shared" si="9"/>
        <v>84.681818181818215</v>
      </c>
      <c r="J46" s="125">
        <f t="shared" si="10"/>
        <v>10.383221593890223</v>
      </c>
    </row>
    <row r="47" spans="1:19" x14ac:dyDescent="0.2">
      <c r="A47" s="120">
        <f t="shared" si="1"/>
        <v>23</v>
      </c>
      <c r="B47" s="120">
        <f t="shared" si="2"/>
        <v>5</v>
      </c>
      <c r="C47" s="120">
        <f t="shared" si="3"/>
        <v>112.5</v>
      </c>
      <c r="D47" s="124">
        <f t="shared" si="4"/>
        <v>1.4511589403973515E-3</v>
      </c>
      <c r="E47" s="122">
        <f t="shared" si="5"/>
        <v>65.928464513602478</v>
      </c>
      <c r="F47" s="120">
        <f t="shared" si="6"/>
        <v>0</v>
      </c>
      <c r="G47" s="122">
        <f t="shared" si="7"/>
        <v>65.928464513602478</v>
      </c>
      <c r="H47" s="122">
        <f t="shared" si="8"/>
        <v>115.37481289880435</v>
      </c>
      <c r="I47" s="125">
        <f t="shared" si="9"/>
        <v>79.681818181818215</v>
      </c>
      <c r="J47" s="125">
        <f t="shared" si="10"/>
        <v>9.193274864163822</v>
      </c>
    </row>
    <row r="48" spans="1:19" x14ac:dyDescent="0.2">
      <c r="A48" s="120">
        <f t="shared" si="1"/>
        <v>24</v>
      </c>
      <c r="B48" s="120">
        <f t="shared" si="2"/>
        <v>5</v>
      </c>
      <c r="C48" s="120">
        <f t="shared" si="3"/>
        <v>117.5</v>
      </c>
      <c r="D48" s="124">
        <f t="shared" si="4"/>
        <v>1.3600993377483447E-3</v>
      </c>
      <c r="E48" s="122">
        <f t="shared" si="5"/>
        <v>61.791481572075796</v>
      </c>
      <c r="F48" s="120">
        <f t="shared" si="6"/>
        <v>0</v>
      </c>
      <c r="G48" s="122">
        <f t="shared" si="7"/>
        <v>61.791481572075796</v>
      </c>
      <c r="H48" s="122">
        <f t="shared" si="8"/>
        <v>108.13509275113263</v>
      </c>
      <c r="I48" s="125">
        <f t="shared" si="9"/>
        <v>74.681818181818215</v>
      </c>
      <c r="J48" s="125">
        <f t="shared" si="10"/>
        <v>8.0757253359141359</v>
      </c>
    </row>
    <row r="49" spans="1:10" x14ac:dyDescent="0.2">
      <c r="A49" s="120">
        <f t="shared" si="1"/>
        <v>25</v>
      </c>
      <c r="B49" s="120">
        <f t="shared" si="2"/>
        <v>5</v>
      </c>
      <c r="C49" s="120">
        <f t="shared" si="3"/>
        <v>122.5</v>
      </c>
      <c r="D49" s="124">
        <f t="shared" si="4"/>
        <v>1.2690397350993382E-3</v>
      </c>
      <c r="E49" s="122">
        <f t="shared" si="5"/>
        <v>57.654498630549121</v>
      </c>
      <c r="F49" s="120">
        <f t="shared" si="6"/>
        <v>0</v>
      </c>
      <c r="G49" s="122">
        <f t="shared" si="7"/>
        <v>57.654498630549121</v>
      </c>
      <c r="H49" s="122">
        <f t="shared" si="8"/>
        <v>100.89537260346097</v>
      </c>
      <c r="I49" s="125">
        <f t="shared" si="9"/>
        <v>69.681818181818215</v>
      </c>
      <c r="J49" s="125">
        <f t="shared" si="10"/>
        <v>7.03057300914117</v>
      </c>
    </row>
    <row r="50" spans="1:10" x14ac:dyDescent="0.2">
      <c r="A50" s="120">
        <f t="shared" si="1"/>
        <v>26</v>
      </c>
      <c r="B50" s="120">
        <f t="shared" si="2"/>
        <v>5</v>
      </c>
      <c r="C50" s="120">
        <f t="shared" si="3"/>
        <v>127.5</v>
      </c>
      <c r="D50" s="124">
        <f t="shared" si="4"/>
        <v>1.1779801324503314E-3</v>
      </c>
      <c r="E50" s="122">
        <f t="shared" si="5"/>
        <v>53.517515689022432</v>
      </c>
      <c r="F50" s="120">
        <f t="shared" si="6"/>
        <v>0</v>
      </c>
      <c r="G50" s="122">
        <f t="shared" si="7"/>
        <v>53.517515689022432</v>
      </c>
      <c r="H50" s="122">
        <f t="shared" si="8"/>
        <v>93.655652455789252</v>
      </c>
      <c r="I50" s="125">
        <f t="shared" si="9"/>
        <v>64.681818181818215</v>
      </c>
      <c r="J50" s="125">
        <f t="shared" si="10"/>
        <v>6.0578178838449164</v>
      </c>
    </row>
    <row r="51" spans="1:10" x14ac:dyDescent="0.2">
      <c r="A51" s="120">
        <f t="shared" si="1"/>
        <v>27</v>
      </c>
      <c r="B51" s="120">
        <f t="shared" si="2"/>
        <v>5</v>
      </c>
      <c r="C51" s="120">
        <f t="shared" si="3"/>
        <v>132.5</v>
      </c>
      <c r="D51" s="124">
        <f t="shared" si="4"/>
        <v>1.0869205298013249E-3</v>
      </c>
      <c r="E51" s="122">
        <f t="shared" si="5"/>
        <v>49.380532747495756</v>
      </c>
      <c r="F51" s="120">
        <f t="shared" si="6"/>
        <v>0</v>
      </c>
      <c r="G51" s="122">
        <f t="shared" si="7"/>
        <v>49.380532747495756</v>
      </c>
      <c r="H51" s="122">
        <f t="shared" si="8"/>
        <v>86.415932308117561</v>
      </c>
      <c r="I51" s="125">
        <f t="shared" si="9"/>
        <v>59.681818181818215</v>
      </c>
      <c r="J51" s="125">
        <f t="shared" si="10"/>
        <v>5.157459960025383</v>
      </c>
    </row>
    <row r="52" spans="1:10" x14ac:dyDescent="0.2">
      <c r="A52" s="120">
        <f t="shared" si="1"/>
        <v>28</v>
      </c>
      <c r="B52" s="120">
        <f t="shared" si="2"/>
        <v>5</v>
      </c>
      <c r="C52" s="120">
        <f t="shared" si="3"/>
        <v>137.5</v>
      </c>
      <c r="D52" s="124">
        <f t="shared" si="4"/>
        <v>9.9586092715231835E-4</v>
      </c>
      <c r="E52" s="122">
        <f t="shared" si="5"/>
        <v>45.243549805969081</v>
      </c>
      <c r="F52" s="120">
        <f t="shared" si="6"/>
        <v>0</v>
      </c>
      <c r="G52" s="122">
        <f t="shared" si="7"/>
        <v>45.243549805969081</v>
      </c>
      <c r="H52" s="122">
        <f t="shared" si="8"/>
        <v>79.1762121604459</v>
      </c>
      <c r="I52" s="125">
        <f t="shared" si="9"/>
        <v>54.681818181818215</v>
      </c>
      <c r="J52" s="125">
        <f t="shared" si="10"/>
        <v>4.3294992376825663</v>
      </c>
    </row>
    <row r="53" spans="1:10" x14ac:dyDescent="0.2">
      <c r="A53" s="120">
        <f t="shared" si="1"/>
        <v>29</v>
      </c>
      <c r="B53" s="120">
        <f t="shared" si="2"/>
        <v>5</v>
      </c>
      <c r="C53" s="120">
        <f t="shared" si="3"/>
        <v>142.5</v>
      </c>
      <c r="D53" s="124">
        <f t="shared" si="4"/>
        <v>9.048013245033117E-4</v>
      </c>
      <c r="E53" s="122">
        <f t="shared" si="5"/>
        <v>41.106566864442399</v>
      </c>
      <c r="F53" s="120">
        <f t="shared" si="6"/>
        <v>0</v>
      </c>
      <c r="G53" s="122">
        <f t="shared" si="7"/>
        <v>41.106566864442399</v>
      </c>
      <c r="H53" s="122">
        <f t="shared" si="8"/>
        <v>71.936492012774195</v>
      </c>
      <c r="I53" s="125">
        <f t="shared" si="9"/>
        <v>49.681818181818215</v>
      </c>
      <c r="J53" s="125">
        <f t="shared" si="10"/>
        <v>3.5739357168164658</v>
      </c>
    </row>
    <row r="54" spans="1:10" x14ac:dyDescent="0.2">
      <c r="A54" s="120">
        <f t="shared" si="1"/>
        <v>30</v>
      </c>
      <c r="B54" s="120">
        <f t="shared" si="2"/>
        <v>5</v>
      </c>
      <c r="C54" s="120">
        <f t="shared" si="3"/>
        <v>147.5</v>
      </c>
      <c r="D54" s="124">
        <f t="shared" si="4"/>
        <v>8.1374172185430516E-4</v>
      </c>
      <c r="E54" s="122">
        <f t="shared" si="5"/>
        <v>36.969583922915717</v>
      </c>
      <c r="F54" s="120">
        <f t="shared" si="6"/>
        <v>0</v>
      </c>
      <c r="G54" s="122">
        <f t="shared" si="7"/>
        <v>36.969583922915717</v>
      </c>
      <c r="H54" s="122">
        <f t="shared" si="8"/>
        <v>64.696771865102505</v>
      </c>
      <c r="I54" s="125">
        <f t="shared" si="9"/>
        <v>44.681818181818215</v>
      </c>
      <c r="J54" s="125">
        <f t="shared" si="10"/>
        <v>2.8907693974270825</v>
      </c>
    </row>
    <row r="55" spans="1:10" x14ac:dyDescent="0.2">
      <c r="A55" s="120">
        <f t="shared" si="1"/>
        <v>31</v>
      </c>
      <c r="B55" s="120">
        <f t="shared" si="2"/>
        <v>5</v>
      </c>
      <c r="C55" s="120">
        <f t="shared" si="3"/>
        <v>152.5</v>
      </c>
      <c r="D55" s="124">
        <f t="shared" si="4"/>
        <v>7.2268211920529851E-4</v>
      </c>
      <c r="E55" s="122">
        <f t="shared" si="5"/>
        <v>32.832600981389042</v>
      </c>
      <c r="F55" s="120">
        <f t="shared" si="6"/>
        <v>0</v>
      </c>
      <c r="G55" s="122">
        <f t="shared" si="7"/>
        <v>32.832600981389042</v>
      </c>
      <c r="H55" s="122">
        <f t="shared" si="8"/>
        <v>57.457051717430822</v>
      </c>
      <c r="I55" s="125">
        <f t="shared" si="9"/>
        <v>39.681818181818215</v>
      </c>
      <c r="J55" s="125">
        <f t="shared" si="10"/>
        <v>2.2800002795144159</v>
      </c>
    </row>
    <row r="56" spans="1:10" x14ac:dyDescent="0.2">
      <c r="A56" s="120">
        <f t="shared" si="1"/>
        <v>32</v>
      </c>
      <c r="B56" s="120">
        <f t="shared" si="2"/>
        <v>5</v>
      </c>
      <c r="C56" s="120">
        <f t="shared" si="3"/>
        <v>157.5</v>
      </c>
      <c r="D56" s="124">
        <f t="shared" si="4"/>
        <v>6.3162251655629186E-4</v>
      </c>
      <c r="E56" s="122">
        <f t="shared" si="5"/>
        <v>28.695618039862357</v>
      </c>
      <c r="F56" s="120">
        <f t="shared" si="6"/>
        <v>0</v>
      </c>
      <c r="G56" s="122">
        <f t="shared" si="7"/>
        <v>28.695618039862357</v>
      </c>
      <c r="H56" s="122">
        <f t="shared" si="8"/>
        <v>50.217331569759125</v>
      </c>
      <c r="I56" s="125">
        <f t="shared" si="9"/>
        <v>34.681818181818215</v>
      </c>
      <c r="J56" s="125">
        <f t="shared" si="10"/>
        <v>1.7416283630784657</v>
      </c>
    </row>
    <row r="57" spans="1:10" x14ac:dyDescent="0.2">
      <c r="A57" s="120">
        <f t="shared" si="1"/>
        <v>33</v>
      </c>
      <c r="B57" s="120">
        <f t="shared" si="2"/>
        <v>5</v>
      </c>
      <c r="C57" s="120">
        <f t="shared" si="3"/>
        <v>162.5</v>
      </c>
      <c r="D57" s="124">
        <f t="shared" si="4"/>
        <v>5.4056291390728532E-4</v>
      </c>
      <c r="E57" s="122">
        <f t="shared" si="5"/>
        <v>24.558635098335682</v>
      </c>
      <c r="F57" s="120">
        <f t="shared" si="6"/>
        <v>0</v>
      </c>
      <c r="G57" s="122">
        <f t="shared" si="7"/>
        <v>24.558635098335682</v>
      </c>
      <c r="H57" s="122">
        <f t="shared" si="8"/>
        <v>42.977611422087435</v>
      </c>
      <c r="I57" s="125">
        <f t="shared" si="9"/>
        <v>29.681818181818215</v>
      </c>
      <c r="J57" s="125">
        <f t="shared" si="10"/>
        <v>1.2756536481192331</v>
      </c>
    </row>
    <row r="58" spans="1:10" x14ac:dyDescent="0.2">
      <c r="A58" s="120">
        <f t="shared" si="1"/>
        <v>34</v>
      </c>
      <c r="B58" s="120">
        <f t="shared" si="2"/>
        <v>5</v>
      </c>
      <c r="C58" s="120">
        <f t="shared" si="3"/>
        <v>167.5</v>
      </c>
      <c r="D58" s="124">
        <f t="shared" si="4"/>
        <v>4.4950331125827872E-4</v>
      </c>
      <c r="E58" s="122">
        <f t="shared" si="5"/>
        <v>20.421652156809003</v>
      </c>
      <c r="F58" s="133">
        <f t="shared" si="6"/>
        <v>0</v>
      </c>
      <c r="G58" s="122">
        <f t="shared" si="7"/>
        <v>20.421652156809003</v>
      </c>
      <c r="H58" s="122">
        <f t="shared" si="8"/>
        <v>35.737891274415759</v>
      </c>
      <c r="I58" s="125">
        <f t="shared" si="9"/>
        <v>24.681818181818215</v>
      </c>
      <c r="J58" s="125">
        <f t="shared" si="10"/>
        <v>0.88207613463671752</v>
      </c>
    </row>
    <row r="59" spans="1:10" x14ac:dyDescent="0.2">
      <c r="A59" s="120">
        <f t="shared" si="1"/>
        <v>35</v>
      </c>
      <c r="B59" s="120">
        <f t="shared" si="2"/>
        <v>5</v>
      </c>
      <c r="C59" s="120">
        <f t="shared" si="3"/>
        <v>172.5</v>
      </c>
      <c r="D59" s="124">
        <f t="shared" si="4"/>
        <v>3.5844370860927213E-4</v>
      </c>
      <c r="E59" s="122">
        <f t="shared" si="5"/>
        <v>16.284669215282324</v>
      </c>
      <c r="F59" s="120">
        <f t="shared" si="6"/>
        <v>0</v>
      </c>
      <c r="G59" s="122">
        <f t="shared" si="7"/>
        <v>16.284669215282324</v>
      </c>
      <c r="H59" s="122">
        <f t="shared" si="8"/>
        <v>28.498171126744069</v>
      </c>
      <c r="I59" s="125">
        <f t="shared" si="9"/>
        <v>19.681818181818215</v>
      </c>
      <c r="J59" s="125">
        <f t="shared" si="10"/>
        <v>0.56089582263091831</v>
      </c>
    </row>
    <row r="60" spans="1:10" x14ac:dyDescent="0.2">
      <c r="A60" s="120">
        <f t="shared" si="1"/>
        <v>36</v>
      </c>
      <c r="B60" s="120">
        <f t="shared" si="2"/>
        <v>5</v>
      </c>
      <c r="C60" s="120">
        <f t="shared" si="3"/>
        <v>177.5</v>
      </c>
      <c r="D60" s="124">
        <f t="shared" si="4"/>
        <v>2.6738410596026548E-4</v>
      </c>
      <c r="E60" s="122">
        <f t="shared" si="5"/>
        <v>12.147686273755642</v>
      </c>
      <c r="F60" s="120">
        <f t="shared" si="6"/>
        <v>0</v>
      </c>
      <c r="G60" s="122">
        <f t="shared" si="7"/>
        <v>12.147686273755642</v>
      </c>
      <c r="H60" s="122">
        <f t="shared" si="8"/>
        <v>21.258450979072371</v>
      </c>
      <c r="I60" s="125">
        <f t="shared" si="9"/>
        <v>14.681818181818215</v>
      </c>
      <c r="J60" s="125">
        <f t="shared" si="10"/>
        <v>0.312112712101836</v>
      </c>
    </row>
    <row r="61" spans="1:10" x14ac:dyDescent="0.2">
      <c r="A61" s="120">
        <f t="shared" si="1"/>
        <v>37</v>
      </c>
      <c r="B61" s="120">
        <f t="shared" si="2"/>
        <v>5</v>
      </c>
      <c r="C61" s="120">
        <f t="shared" si="3"/>
        <v>182.5</v>
      </c>
      <c r="D61" s="124">
        <f t="shared" si="4"/>
        <v>1.7632450331125888E-4</v>
      </c>
      <c r="E61" s="122">
        <f t="shared" si="5"/>
        <v>8.010703332228962</v>
      </c>
      <c r="F61" s="120">
        <f t="shared" si="6"/>
        <v>0</v>
      </c>
      <c r="G61" s="122">
        <f t="shared" si="7"/>
        <v>8.010703332228962</v>
      </c>
      <c r="H61" s="122">
        <f t="shared" si="8"/>
        <v>14.018730831400683</v>
      </c>
      <c r="I61" s="125">
        <f t="shared" si="9"/>
        <v>9.6818181818182154</v>
      </c>
      <c r="J61" s="125">
        <f t="shared" si="10"/>
        <v>0.13572680304947074</v>
      </c>
    </row>
    <row r="62" spans="1:10" x14ac:dyDescent="0.2">
      <c r="A62" s="120">
        <f t="shared" si="1"/>
        <v>38</v>
      </c>
      <c r="B62" s="120">
        <f t="shared" si="2"/>
        <v>5</v>
      </c>
      <c r="C62" s="120">
        <f t="shared" si="3"/>
        <v>187.5</v>
      </c>
      <c r="D62" s="124">
        <f t="shared" si="4"/>
        <v>8.526490066225226E-5</v>
      </c>
      <c r="E62" s="122">
        <f t="shared" si="5"/>
        <v>3.8737203907022826</v>
      </c>
      <c r="F62" s="120">
        <f t="shared" si="6"/>
        <v>0</v>
      </c>
      <c r="G62" s="122">
        <f t="shared" si="7"/>
        <v>3.8737203907022826</v>
      </c>
      <c r="H62" s="122">
        <f t="shared" si="8"/>
        <v>6.7790106837289938</v>
      </c>
      <c r="I62" s="125">
        <f t="shared" si="9"/>
        <v>4.6818181818182154</v>
      </c>
      <c r="J62" s="125">
        <f t="shared" si="10"/>
        <v>3.1738095473822336E-2</v>
      </c>
    </row>
    <row r="63" spans="1:10" x14ac:dyDescent="0.2">
      <c r="A63" s="120">
        <f t="shared" si="1"/>
        <v>39</v>
      </c>
      <c r="B63" s="120">
        <f t="shared" si="2"/>
        <v>5</v>
      </c>
      <c r="C63" s="120">
        <f t="shared" si="3"/>
        <v>192.5</v>
      </c>
      <c r="D63" s="124">
        <f t="shared" si="4"/>
        <v>-5.794701986754354E-6</v>
      </c>
      <c r="E63" s="122">
        <f t="shared" si="5"/>
        <v>0</v>
      </c>
      <c r="F63" s="120">
        <f t="shared" si="6"/>
        <v>-0.26326255082439726</v>
      </c>
      <c r="G63" s="122">
        <f t="shared" si="7"/>
        <v>-0.26326255082439726</v>
      </c>
      <c r="H63" s="122">
        <f t="shared" si="8"/>
        <v>-0.46070946394269519</v>
      </c>
      <c r="I63" s="125">
        <f t="shared" si="9"/>
        <v>-0.31818181818178459</v>
      </c>
      <c r="J63" s="125">
        <f t="shared" si="10"/>
        <v>1.4658937489084209E-4</v>
      </c>
    </row>
    <row r="64" spans="1:10" x14ac:dyDescent="0.2">
      <c r="A64" s="120">
        <f t="shared" si="1"/>
        <v>40</v>
      </c>
      <c r="B64" s="120">
        <f t="shared" si="2"/>
        <v>5</v>
      </c>
      <c r="C64" s="120">
        <f t="shared" si="3"/>
        <v>197.5</v>
      </c>
      <c r="D64" s="124">
        <f t="shared" si="4"/>
        <v>-9.6854304635760958E-5</v>
      </c>
      <c r="E64" s="122">
        <f t="shared" si="5"/>
        <v>0</v>
      </c>
      <c r="F64" s="120">
        <f t="shared" si="6"/>
        <v>-4.4002454923510763</v>
      </c>
      <c r="G64" s="122">
        <f t="shared" si="7"/>
        <v>-4.4002454923510763</v>
      </c>
      <c r="H64" s="122">
        <f t="shared" si="8"/>
        <v>-7.7004296116143829</v>
      </c>
      <c r="I64" s="125">
        <f t="shared" si="9"/>
        <v>-5.3181818181817846</v>
      </c>
      <c r="J64" s="125">
        <f t="shared" si="10"/>
        <v>4.0952284752676232E-2</v>
      </c>
    </row>
    <row r="65" spans="1:10" x14ac:dyDescent="0.2">
      <c r="A65" s="120">
        <f t="shared" si="1"/>
        <v>41</v>
      </c>
      <c r="B65" s="120">
        <f t="shared" si="2"/>
        <v>5</v>
      </c>
      <c r="C65" s="120">
        <f t="shared" si="3"/>
        <v>202.5</v>
      </c>
      <c r="D65" s="124">
        <f t="shared" si="4"/>
        <v>-1.8791390728476755E-4</v>
      </c>
      <c r="E65" s="122">
        <f t="shared" si="5"/>
        <v>0</v>
      </c>
      <c r="F65" s="120">
        <f t="shared" si="6"/>
        <v>-8.5</v>
      </c>
      <c r="G65" s="122">
        <f t="shared" si="7"/>
        <v>-8.5</v>
      </c>
      <c r="H65" s="122">
        <f t="shared" si="8"/>
        <v>-14.875</v>
      </c>
      <c r="I65" s="125">
        <f t="shared" si="9"/>
        <v>-10.318181818181785</v>
      </c>
      <c r="J65" s="125">
        <f t="shared" si="10"/>
        <v>0.15348295454545405</v>
      </c>
    </row>
    <row r="66" spans="1:10" x14ac:dyDescent="0.2">
      <c r="A66" s="120">
        <f t="shared" si="1"/>
        <v>42</v>
      </c>
      <c r="B66" s="120">
        <f t="shared" si="2"/>
        <v>5</v>
      </c>
      <c r="C66" s="120">
        <f t="shared" si="3"/>
        <v>207.5</v>
      </c>
      <c r="D66" s="124">
        <f t="shared" si="4"/>
        <v>-2.7897350993377415E-4</v>
      </c>
      <c r="E66" s="122">
        <f t="shared" si="5"/>
        <v>0</v>
      </c>
      <c r="F66" s="120">
        <f t="shared" si="6"/>
        <v>-8.5</v>
      </c>
      <c r="G66" s="122">
        <f t="shared" si="7"/>
        <v>-8.5</v>
      </c>
      <c r="H66" s="122">
        <f t="shared" si="8"/>
        <v>-14.875</v>
      </c>
      <c r="I66" s="125">
        <f t="shared" si="9"/>
        <v>-15.318181818181785</v>
      </c>
      <c r="J66" s="125">
        <f t="shared" si="10"/>
        <v>0.22785795454545404</v>
      </c>
    </row>
    <row r="67" spans="1:10" x14ac:dyDescent="0.2">
      <c r="A67" s="120">
        <f t="shared" si="1"/>
        <v>43</v>
      </c>
      <c r="B67" s="120">
        <f t="shared" si="2"/>
        <v>5</v>
      </c>
      <c r="C67" s="120">
        <f t="shared" si="3"/>
        <v>212.5</v>
      </c>
      <c r="D67" s="124">
        <f t="shared" si="4"/>
        <v>-3.700331125827808E-4</v>
      </c>
      <c r="E67" s="122">
        <f t="shared" si="5"/>
        <v>0</v>
      </c>
      <c r="F67" s="120">
        <f t="shared" si="6"/>
        <v>-8.5</v>
      </c>
      <c r="G67" s="122">
        <f t="shared" si="7"/>
        <v>-8.5</v>
      </c>
      <c r="H67" s="122">
        <f t="shared" si="8"/>
        <v>-14.875</v>
      </c>
      <c r="I67" s="125">
        <f t="shared" si="9"/>
        <v>-20.318181818181785</v>
      </c>
      <c r="J67" s="125">
        <f t="shared" si="10"/>
        <v>0.30223295454545407</v>
      </c>
    </row>
    <row r="68" spans="1:10" x14ac:dyDescent="0.2">
      <c r="A68" s="120">
        <f t="shared" si="1"/>
        <v>44</v>
      </c>
      <c r="B68" s="120">
        <f t="shared" si="2"/>
        <v>5</v>
      </c>
      <c r="C68" s="120">
        <f t="shared" si="3"/>
        <v>217.5</v>
      </c>
      <c r="D68" s="124">
        <f t="shared" si="4"/>
        <v>-4.6109271523178734E-4</v>
      </c>
      <c r="E68" s="122">
        <f t="shared" si="5"/>
        <v>0</v>
      </c>
      <c r="F68" s="120">
        <f t="shared" si="6"/>
        <v>-8.5</v>
      </c>
      <c r="G68" s="122">
        <f t="shared" si="7"/>
        <v>-8.5</v>
      </c>
      <c r="H68" s="122">
        <f t="shared" si="8"/>
        <v>-14.875</v>
      </c>
      <c r="I68" s="125">
        <f t="shared" si="9"/>
        <v>-25.318181818181785</v>
      </c>
      <c r="J68" s="125">
        <f t="shared" si="10"/>
        <v>0.37660795454545404</v>
      </c>
    </row>
    <row r="69" spans="1:10" x14ac:dyDescent="0.2">
      <c r="A69" s="120">
        <f t="shared" si="1"/>
        <v>45</v>
      </c>
      <c r="B69" s="120">
        <f t="shared" si="2"/>
        <v>5</v>
      </c>
      <c r="C69" s="120">
        <f t="shared" si="3"/>
        <v>222.5</v>
      </c>
      <c r="D69" s="124">
        <f t="shared" si="4"/>
        <v>-5.5215231788079393E-4</v>
      </c>
      <c r="E69" s="122">
        <f t="shared" si="5"/>
        <v>0</v>
      </c>
      <c r="F69" s="120">
        <f t="shared" si="6"/>
        <v>-8.5</v>
      </c>
      <c r="G69" s="122">
        <f t="shared" si="7"/>
        <v>-8.5</v>
      </c>
      <c r="H69" s="122">
        <f t="shared" si="8"/>
        <v>-14.875</v>
      </c>
      <c r="I69" s="125">
        <f t="shared" si="9"/>
        <v>-30.318181818181785</v>
      </c>
      <c r="J69" s="125">
        <f t="shared" si="10"/>
        <v>0.45098295454545406</v>
      </c>
    </row>
    <row r="70" spans="1:10" x14ac:dyDescent="0.2">
      <c r="A70" s="120">
        <f t="shared" si="1"/>
        <v>46</v>
      </c>
      <c r="B70" s="120">
        <f t="shared" si="2"/>
        <v>5</v>
      </c>
      <c r="C70" s="120">
        <f t="shared" si="3"/>
        <v>227.5</v>
      </c>
      <c r="D70" s="124">
        <f t="shared" si="4"/>
        <v>-6.4321192052980058E-4</v>
      </c>
      <c r="E70" s="122">
        <f t="shared" si="5"/>
        <v>0</v>
      </c>
      <c r="F70" s="120">
        <f t="shared" si="6"/>
        <v>-8.5</v>
      </c>
      <c r="G70" s="122">
        <f t="shared" si="7"/>
        <v>-8.5</v>
      </c>
      <c r="H70" s="122">
        <f t="shared" si="8"/>
        <v>-14.875</v>
      </c>
      <c r="I70" s="125">
        <f t="shared" si="9"/>
        <v>-35.318181818181785</v>
      </c>
      <c r="J70" s="125">
        <f t="shared" si="10"/>
        <v>0.52535795454545409</v>
      </c>
    </row>
    <row r="71" spans="1:10" x14ac:dyDescent="0.2">
      <c r="A71" s="120">
        <f t="shared" si="1"/>
        <v>47</v>
      </c>
      <c r="B71" s="120">
        <f t="shared" si="2"/>
        <v>5</v>
      </c>
      <c r="C71" s="120">
        <f t="shared" si="3"/>
        <v>232.5</v>
      </c>
      <c r="D71" s="124">
        <f t="shared" si="4"/>
        <v>-7.3427152317880723E-4</v>
      </c>
      <c r="E71" s="122">
        <f t="shared" si="5"/>
        <v>0</v>
      </c>
      <c r="F71" s="120">
        <f t="shared" si="6"/>
        <v>-8.5</v>
      </c>
      <c r="G71" s="122">
        <f t="shared" si="7"/>
        <v>-8.5</v>
      </c>
      <c r="H71" s="122">
        <f t="shared" si="8"/>
        <v>-14.875</v>
      </c>
      <c r="I71" s="125">
        <f t="shared" si="9"/>
        <v>-40.318181818181785</v>
      </c>
      <c r="J71" s="125">
        <f t="shared" si="10"/>
        <v>0.59973295454545406</v>
      </c>
    </row>
    <row r="72" spans="1:10" x14ac:dyDescent="0.2">
      <c r="A72" s="120">
        <f t="shared" si="1"/>
        <v>48</v>
      </c>
      <c r="B72" s="120">
        <f t="shared" si="2"/>
        <v>5</v>
      </c>
      <c r="C72" s="120">
        <f t="shared" si="3"/>
        <v>237.5</v>
      </c>
      <c r="D72" s="124">
        <f t="shared" si="4"/>
        <v>-8.2533112582781388E-4</v>
      </c>
      <c r="E72" s="122">
        <f t="shared" si="5"/>
        <v>0</v>
      </c>
      <c r="F72" s="120">
        <f t="shared" si="6"/>
        <v>-8.5</v>
      </c>
      <c r="G72" s="122">
        <f t="shared" si="7"/>
        <v>-8.5</v>
      </c>
      <c r="H72" s="122">
        <f t="shared" si="8"/>
        <v>-14.875</v>
      </c>
      <c r="I72" s="125">
        <f t="shared" si="9"/>
        <v>-45.318181818181785</v>
      </c>
      <c r="J72" s="125">
        <f t="shared" si="10"/>
        <v>0.67410795454545402</v>
      </c>
    </row>
    <row r="73" spans="1:10" x14ac:dyDescent="0.2">
      <c r="A73" s="120">
        <f t="shared" si="1"/>
        <v>49</v>
      </c>
      <c r="B73" s="120">
        <f t="shared" si="2"/>
        <v>5</v>
      </c>
      <c r="C73" s="120">
        <f t="shared" si="3"/>
        <v>242.5</v>
      </c>
      <c r="D73" s="124">
        <f t="shared" si="4"/>
        <v>-9.1639072847682042E-4</v>
      </c>
      <c r="E73" s="122">
        <f t="shared" si="5"/>
        <v>0</v>
      </c>
      <c r="F73" s="120">
        <f t="shared" si="6"/>
        <v>-8.5</v>
      </c>
      <c r="G73" s="122">
        <f t="shared" si="7"/>
        <v>-8.5</v>
      </c>
      <c r="H73" s="122">
        <f t="shared" si="8"/>
        <v>-14.875</v>
      </c>
      <c r="I73" s="125">
        <f t="shared" si="9"/>
        <v>-50.318181818181785</v>
      </c>
      <c r="J73" s="125">
        <f t="shared" si="10"/>
        <v>0.7484829545454541</v>
      </c>
    </row>
    <row r="74" spans="1:10" x14ac:dyDescent="0.2">
      <c r="A74" s="120">
        <f t="shared" si="1"/>
        <v>50</v>
      </c>
      <c r="B74" s="120">
        <f t="shared" si="2"/>
        <v>5</v>
      </c>
      <c r="C74" s="120">
        <f t="shared" si="3"/>
        <v>247.5</v>
      </c>
      <c r="D74" s="124">
        <f t="shared" si="4"/>
        <v>-1.0074503311258271E-3</v>
      </c>
      <c r="E74" s="122">
        <f t="shared" si="5"/>
        <v>0</v>
      </c>
      <c r="F74" s="120">
        <f t="shared" si="6"/>
        <v>-8.5</v>
      </c>
      <c r="G74" s="122">
        <f t="shared" si="7"/>
        <v>-8.5</v>
      </c>
      <c r="H74" s="122">
        <f t="shared" si="8"/>
        <v>-14.875</v>
      </c>
      <c r="I74" s="125">
        <f t="shared" si="9"/>
        <v>-55.318181818181785</v>
      </c>
      <c r="J74" s="125">
        <f t="shared" si="10"/>
        <v>0.82285795454545407</v>
      </c>
    </row>
    <row r="75" spans="1:10" x14ac:dyDescent="0.2">
      <c r="A75" s="120">
        <f t="shared" si="1"/>
        <v>51</v>
      </c>
      <c r="B75" s="120">
        <f t="shared" si="2"/>
        <v>5</v>
      </c>
      <c r="C75" s="120">
        <f t="shared" si="3"/>
        <v>252.5</v>
      </c>
      <c r="D75" s="124">
        <f t="shared" si="4"/>
        <v>-1.0985099337748336E-3</v>
      </c>
      <c r="E75" s="122">
        <f t="shared" si="5"/>
        <v>0</v>
      </c>
      <c r="F75" s="120">
        <f t="shared" si="6"/>
        <v>-8.5</v>
      </c>
      <c r="G75" s="122">
        <f t="shared" si="7"/>
        <v>-8.5</v>
      </c>
      <c r="H75" s="122">
        <f t="shared" si="8"/>
        <v>-14.875</v>
      </c>
      <c r="I75" s="125">
        <f t="shared" si="9"/>
        <v>-60.318181818181785</v>
      </c>
      <c r="J75" s="125">
        <f t="shared" si="10"/>
        <v>0.89723295454545404</v>
      </c>
    </row>
    <row r="76" spans="1:10" x14ac:dyDescent="0.2">
      <c r="A76" s="120">
        <f t="shared" si="1"/>
        <v>52</v>
      </c>
      <c r="B76" s="120">
        <f t="shared" si="2"/>
        <v>5</v>
      </c>
      <c r="C76" s="120">
        <f t="shared" si="3"/>
        <v>257.5</v>
      </c>
      <c r="D76" s="124">
        <f t="shared" si="4"/>
        <v>-1.1895695364238402E-3</v>
      </c>
      <c r="E76" s="122">
        <f t="shared" si="5"/>
        <v>0</v>
      </c>
      <c r="F76" s="120">
        <f t="shared" si="6"/>
        <v>-8.5</v>
      </c>
      <c r="G76" s="122">
        <f t="shared" si="7"/>
        <v>-8.5</v>
      </c>
      <c r="H76" s="122">
        <f t="shared" si="8"/>
        <v>-14.875</v>
      </c>
      <c r="I76" s="125">
        <f t="shared" si="9"/>
        <v>-65.318181818181785</v>
      </c>
      <c r="J76" s="125">
        <f t="shared" si="10"/>
        <v>0.97160795454545401</v>
      </c>
    </row>
    <row r="77" spans="1:10" x14ac:dyDescent="0.2">
      <c r="A77" s="120">
        <f t="shared" si="1"/>
        <v>53</v>
      </c>
      <c r="B77" s="120">
        <f t="shared" si="2"/>
        <v>5</v>
      </c>
      <c r="C77" s="120">
        <f t="shared" si="3"/>
        <v>262.5</v>
      </c>
      <c r="D77" s="124">
        <f t="shared" si="4"/>
        <v>-1.2806291390728469E-3</v>
      </c>
      <c r="E77" s="122">
        <f t="shared" si="5"/>
        <v>0</v>
      </c>
      <c r="F77" s="120">
        <f t="shared" si="6"/>
        <v>-8.5</v>
      </c>
      <c r="G77" s="122">
        <f t="shared" si="7"/>
        <v>-8.5</v>
      </c>
      <c r="H77" s="122">
        <f t="shared" si="8"/>
        <v>-14.875</v>
      </c>
      <c r="I77" s="125">
        <f t="shared" si="9"/>
        <v>-70.318181818181785</v>
      </c>
      <c r="J77" s="125">
        <f t="shared" si="10"/>
        <v>1.045982954545454</v>
      </c>
    </row>
    <row r="78" spans="1:10" x14ac:dyDescent="0.2">
      <c r="A78" s="120">
        <f t="shared" si="1"/>
        <v>54</v>
      </c>
      <c r="B78" s="120">
        <f t="shared" si="2"/>
        <v>5</v>
      </c>
      <c r="C78" s="120">
        <f t="shared" si="3"/>
        <v>267.5</v>
      </c>
      <c r="D78" s="124">
        <f t="shared" si="4"/>
        <v>-1.3716887417218537E-3</v>
      </c>
      <c r="E78" s="122">
        <f t="shared" si="5"/>
        <v>0</v>
      </c>
      <c r="F78" s="120">
        <f t="shared" si="6"/>
        <v>-8.5</v>
      </c>
      <c r="G78" s="122">
        <f t="shared" si="7"/>
        <v>-8.5</v>
      </c>
      <c r="H78" s="122">
        <f t="shared" si="8"/>
        <v>-14.875</v>
      </c>
      <c r="I78" s="125">
        <f t="shared" si="9"/>
        <v>-75.318181818181785</v>
      </c>
      <c r="J78" s="125">
        <f t="shared" si="10"/>
        <v>1.1203579545454541</v>
      </c>
    </row>
    <row r="79" spans="1:10" x14ac:dyDescent="0.2">
      <c r="A79" s="120">
        <f t="shared" si="1"/>
        <v>55</v>
      </c>
      <c r="B79" s="120">
        <f t="shared" si="2"/>
        <v>5</v>
      </c>
      <c r="C79" s="120">
        <f t="shared" si="3"/>
        <v>272.5</v>
      </c>
      <c r="D79" s="124">
        <f t="shared" si="4"/>
        <v>-1.46274834437086E-3</v>
      </c>
      <c r="E79" s="122">
        <f t="shared" si="5"/>
        <v>0</v>
      </c>
      <c r="F79" s="120">
        <f t="shared" si="6"/>
        <v>-8.5</v>
      </c>
      <c r="G79" s="122">
        <f t="shared" si="7"/>
        <v>-8.5</v>
      </c>
      <c r="H79" s="122">
        <f t="shared" si="8"/>
        <v>-14.875</v>
      </c>
      <c r="I79" s="125">
        <f t="shared" si="9"/>
        <v>-80.318181818181785</v>
      </c>
      <c r="J79" s="125">
        <f t="shared" si="10"/>
        <v>1.1947329545454541</v>
      </c>
    </row>
    <row r="80" spans="1:10" x14ac:dyDescent="0.2">
      <c r="A80" s="120">
        <f t="shared" si="1"/>
        <v>56</v>
      </c>
      <c r="B80" s="120">
        <f t="shared" si="2"/>
        <v>5</v>
      </c>
      <c r="C80" s="120">
        <f t="shared" si="3"/>
        <v>277.5</v>
      </c>
      <c r="D80" s="124">
        <f t="shared" si="4"/>
        <v>-1.5538079470198668E-3</v>
      </c>
      <c r="E80" s="122">
        <f t="shared" si="5"/>
        <v>0</v>
      </c>
      <c r="F80" s="120">
        <f t="shared" si="6"/>
        <v>-8.5</v>
      </c>
      <c r="G80" s="122">
        <f t="shared" si="7"/>
        <v>-8.5</v>
      </c>
      <c r="H80" s="122">
        <f t="shared" si="8"/>
        <v>-14.875</v>
      </c>
      <c r="I80" s="125">
        <f t="shared" si="9"/>
        <v>-85.318181818181785</v>
      </c>
      <c r="J80" s="125">
        <f t="shared" si="10"/>
        <v>1.269107954545454</v>
      </c>
    </row>
    <row r="81" spans="1:10" x14ac:dyDescent="0.2">
      <c r="A81" s="120">
        <f t="shared" si="1"/>
        <v>57</v>
      </c>
      <c r="B81" s="120">
        <f t="shared" si="2"/>
        <v>5</v>
      </c>
      <c r="C81" s="120">
        <f t="shared" si="3"/>
        <v>282.5</v>
      </c>
      <c r="D81" s="124">
        <f t="shared" si="4"/>
        <v>-1.6448675496688733E-3</v>
      </c>
      <c r="E81" s="122">
        <f t="shared" si="5"/>
        <v>0</v>
      </c>
      <c r="F81" s="120">
        <f t="shared" si="6"/>
        <v>-8.5</v>
      </c>
      <c r="G81" s="122">
        <f t="shared" si="7"/>
        <v>-8.5</v>
      </c>
      <c r="H81" s="122">
        <f t="shared" si="8"/>
        <v>-14.875</v>
      </c>
      <c r="I81" s="125">
        <f t="shared" si="9"/>
        <v>-90.318181818181785</v>
      </c>
      <c r="J81" s="125">
        <f t="shared" si="10"/>
        <v>1.3434829545454541</v>
      </c>
    </row>
    <row r="82" spans="1:10" x14ac:dyDescent="0.2">
      <c r="A82" s="120">
        <f t="shared" si="1"/>
        <v>58</v>
      </c>
      <c r="B82" s="120">
        <f t="shared" si="2"/>
        <v>5</v>
      </c>
      <c r="C82" s="120">
        <f t="shared" si="3"/>
        <v>287.5</v>
      </c>
      <c r="D82" s="124">
        <f t="shared" si="4"/>
        <v>-1.7359271523178801E-3</v>
      </c>
      <c r="E82" s="122">
        <f t="shared" si="5"/>
        <v>0</v>
      </c>
      <c r="F82" s="120">
        <f t="shared" si="6"/>
        <v>-8.5</v>
      </c>
      <c r="G82" s="122">
        <f t="shared" si="7"/>
        <v>-8.5</v>
      </c>
      <c r="H82" s="122">
        <f t="shared" si="8"/>
        <v>-14.875</v>
      </c>
      <c r="I82" s="125">
        <f t="shared" si="9"/>
        <v>-95.318181818181785</v>
      </c>
      <c r="J82" s="125">
        <f t="shared" si="10"/>
        <v>1.4178579545454542</v>
      </c>
    </row>
    <row r="83" spans="1:10" x14ac:dyDescent="0.2">
      <c r="A83" s="120">
        <f t="shared" si="1"/>
        <v>59</v>
      </c>
      <c r="B83" s="120">
        <f t="shared" si="2"/>
        <v>5</v>
      </c>
      <c r="C83" s="120">
        <f t="shared" si="3"/>
        <v>292.5</v>
      </c>
      <c r="D83" s="124">
        <f t="shared" si="4"/>
        <v>-1.8269867549668864E-3</v>
      </c>
      <c r="E83" s="122">
        <f t="shared" si="5"/>
        <v>0</v>
      </c>
      <c r="F83" s="120">
        <f t="shared" si="6"/>
        <v>-8.5</v>
      </c>
      <c r="G83" s="122">
        <f t="shared" si="7"/>
        <v>-8.5</v>
      </c>
      <c r="H83" s="122">
        <f t="shared" si="8"/>
        <v>-14.875</v>
      </c>
      <c r="I83" s="125">
        <f t="shared" si="9"/>
        <v>-100.31818181818178</v>
      </c>
      <c r="J83" s="125">
        <f t="shared" si="10"/>
        <v>1.492232954545454</v>
      </c>
    </row>
    <row r="84" spans="1:10" x14ac:dyDescent="0.2">
      <c r="A84" s="120">
        <f t="shared" si="1"/>
        <v>60</v>
      </c>
      <c r="B84" s="120">
        <f t="shared" si="2"/>
        <v>5</v>
      </c>
      <c r="C84" s="120">
        <f t="shared" si="3"/>
        <v>297.5</v>
      </c>
      <c r="D84" s="124">
        <f t="shared" si="4"/>
        <v>-1.9180463576158931E-3</v>
      </c>
      <c r="E84" s="122">
        <f t="shared" si="5"/>
        <v>0</v>
      </c>
      <c r="F84" s="120">
        <f t="shared" si="6"/>
        <v>-8.5</v>
      </c>
      <c r="G84" s="122">
        <f t="shared" si="7"/>
        <v>-8.5</v>
      </c>
      <c r="H84" s="122">
        <f t="shared" si="8"/>
        <v>-14.875</v>
      </c>
      <c r="I84" s="125">
        <f t="shared" si="9"/>
        <v>-105.31818181818178</v>
      </c>
      <c r="J84" s="125">
        <f t="shared" si="10"/>
        <v>1.5666079545454541</v>
      </c>
    </row>
    <row r="85" spans="1:10" x14ac:dyDescent="0.2">
      <c r="A85" s="120">
        <f t="shared" si="1"/>
        <v>61</v>
      </c>
      <c r="B85" s="120">
        <f t="shared" si="2"/>
        <v>5</v>
      </c>
      <c r="C85" s="120">
        <f t="shared" si="3"/>
        <v>302.5</v>
      </c>
      <c r="D85" s="124">
        <f t="shared" si="4"/>
        <v>-2.0091059602648999E-3</v>
      </c>
      <c r="E85" s="122">
        <f t="shared" si="5"/>
        <v>0</v>
      </c>
      <c r="F85" s="120">
        <f t="shared" si="6"/>
        <v>-8.5</v>
      </c>
      <c r="G85" s="122">
        <f t="shared" si="7"/>
        <v>-8.5</v>
      </c>
      <c r="H85" s="122">
        <f t="shared" si="8"/>
        <v>-14.875</v>
      </c>
      <c r="I85" s="125">
        <f t="shared" si="9"/>
        <v>-110.31818181818178</v>
      </c>
      <c r="J85" s="125">
        <f t="shared" si="10"/>
        <v>1.640982954545454</v>
      </c>
    </row>
    <row r="86" spans="1:10" x14ac:dyDescent="0.2">
      <c r="A86" s="120">
        <f t="shared" si="1"/>
        <v>62</v>
      </c>
      <c r="B86" s="120">
        <f t="shared" si="2"/>
        <v>5</v>
      </c>
      <c r="C86" s="120">
        <f t="shared" si="3"/>
        <v>307.5</v>
      </c>
      <c r="D86" s="124">
        <f t="shared" si="4"/>
        <v>-2.1001655629139062E-3</v>
      </c>
      <c r="E86" s="122">
        <f t="shared" si="5"/>
        <v>0</v>
      </c>
      <c r="F86" s="120">
        <f t="shared" si="6"/>
        <v>-8.5</v>
      </c>
      <c r="G86" s="122">
        <f t="shared" si="7"/>
        <v>-8.5</v>
      </c>
      <c r="H86" s="122">
        <f t="shared" si="8"/>
        <v>-14.875</v>
      </c>
      <c r="I86" s="125">
        <f t="shared" si="9"/>
        <v>-115.31818181818178</v>
      </c>
      <c r="J86" s="125">
        <f t="shared" si="10"/>
        <v>1.715357954545454</v>
      </c>
    </row>
    <row r="87" spans="1:10" x14ac:dyDescent="0.2">
      <c r="A87" s="120">
        <f t="shared" si="1"/>
        <v>63</v>
      </c>
      <c r="B87" s="120">
        <f t="shared" si="2"/>
        <v>5</v>
      </c>
      <c r="C87" s="120">
        <f t="shared" si="3"/>
        <v>312.5</v>
      </c>
      <c r="D87" s="124">
        <f t="shared" si="4"/>
        <v>-2.191225165562913E-3</v>
      </c>
      <c r="E87" s="122">
        <f t="shared" si="5"/>
        <v>0</v>
      </c>
      <c r="F87" s="120">
        <f t="shared" si="6"/>
        <v>-8.5</v>
      </c>
      <c r="G87" s="122">
        <f t="shared" si="7"/>
        <v>-8.5</v>
      </c>
      <c r="H87" s="122">
        <f t="shared" si="8"/>
        <v>-14.875</v>
      </c>
      <c r="I87" s="125">
        <f t="shared" si="9"/>
        <v>-120.31818181818178</v>
      </c>
      <c r="J87" s="125">
        <f t="shared" si="10"/>
        <v>1.7897329545454541</v>
      </c>
    </row>
    <row r="88" spans="1:10" x14ac:dyDescent="0.2">
      <c r="A88" s="120">
        <f t="shared" si="1"/>
        <v>64</v>
      </c>
      <c r="B88" s="120">
        <f t="shared" si="2"/>
        <v>5</v>
      </c>
      <c r="C88" s="120">
        <f t="shared" si="3"/>
        <v>317.5</v>
      </c>
      <c r="D88" s="124">
        <f t="shared" si="4"/>
        <v>-2.2822847682119197E-3</v>
      </c>
      <c r="E88" s="122">
        <f t="shared" si="5"/>
        <v>0</v>
      </c>
      <c r="F88" s="120">
        <f t="shared" si="6"/>
        <v>-8.5</v>
      </c>
      <c r="G88" s="122">
        <f t="shared" si="7"/>
        <v>-8.5</v>
      </c>
      <c r="H88" s="122">
        <f t="shared" si="8"/>
        <v>-14.875</v>
      </c>
      <c r="I88" s="125">
        <f t="shared" si="9"/>
        <v>-125.31818181818178</v>
      </c>
      <c r="J88" s="125">
        <f t="shared" si="10"/>
        <v>1.864107954545454</v>
      </c>
    </row>
    <row r="89" spans="1:10" x14ac:dyDescent="0.2">
      <c r="A89" s="120">
        <f t="shared" si="1"/>
        <v>65</v>
      </c>
      <c r="B89" s="120">
        <f t="shared" si="2"/>
        <v>5</v>
      </c>
      <c r="C89" s="120">
        <f t="shared" si="3"/>
        <v>322.5</v>
      </c>
      <c r="D89" s="124">
        <f t="shared" si="4"/>
        <v>-2.3733443708609265E-3</v>
      </c>
      <c r="E89" s="122">
        <f t="shared" si="5"/>
        <v>0</v>
      </c>
      <c r="F89" s="120">
        <f t="shared" si="6"/>
        <v>-8.5</v>
      </c>
      <c r="G89" s="122">
        <f t="shared" si="7"/>
        <v>-8.5</v>
      </c>
      <c r="H89" s="122">
        <f t="shared" si="8"/>
        <v>-14.875</v>
      </c>
      <c r="I89" s="125">
        <f t="shared" si="9"/>
        <v>-130.31818181818178</v>
      </c>
      <c r="J89" s="125">
        <f t="shared" si="10"/>
        <v>1.9384829545454541</v>
      </c>
    </row>
    <row r="90" spans="1:10" x14ac:dyDescent="0.2">
      <c r="A90" s="120">
        <f t="shared" si="1"/>
        <v>66</v>
      </c>
      <c r="B90" s="120">
        <f t="shared" si="2"/>
        <v>5</v>
      </c>
      <c r="C90" s="120">
        <f t="shared" si="3"/>
        <v>327.5</v>
      </c>
      <c r="D90" s="124">
        <f t="shared" si="4"/>
        <v>-2.4644039735099328E-3</v>
      </c>
      <c r="E90" s="122">
        <f t="shared" si="5"/>
        <v>0</v>
      </c>
      <c r="F90" s="120">
        <f t="shared" si="6"/>
        <v>-8.5</v>
      </c>
      <c r="G90" s="122">
        <f t="shared" si="7"/>
        <v>-8.5</v>
      </c>
      <c r="H90" s="122">
        <f t="shared" si="8"/>
        <v>-14.875</v>
      </c>
      <c r="I90" s="125">
        <f t="shared" si="9"/>
        <v>-135.31818181818178</v>
      </c>
      <c r="J90" s="125">
        <f t="shared" si="10"/>
        <v>2.0128579545454541</v>
      </c>
    </row>
    <row r="91" spans="1:10" x14ac:dyDescent="0.2">
      <c r="A91" s="120">
        <f t="shared" si="1"/>
        <v>67</v>
      </c>
      <c r="B91" s="120">
        <f t="shared" si="2"/>
        <v>5</v>
      </c>
      <c r="C91" s="120">
        <f t="shared" si="3"/>
        <v>332.5</v>
      </c>
      <c r="D91" s="124">
        <f t="shared" si="4"/>
        <v>-2.5554635761589396E-3</v>
      </c>
      <c r="E91" s="122">
        <f t="shared" si="5"/>
        <v>0</v>
      </c>
      <c r="F91" s="120">
        <f t="shared" si="6"/>
        <v>-8.5</v>
      </c>
      <c r="G91" s="122">
        <f t="shared" si="7"/>
        <v>-8.5</v>
      </c>
      <c r="H91" s="122">
        <f t="shared" si="8"/>
        <v>-14.875</v>
      </c>
      <c r="I91" s="125">
        <f t="shared" si="9"/>
        <v>-140.31818181818178</v>
      </c>
      <c r="J91" s="125">
        <f t="shared" si="10"/>
        <v>2.087232954545454</v>
      </c>
    </row>
    <row r="92" spans="1:10" x14ac:dyDescent="0.2">
      <c r="A92" s="120">
        <f t="shared" si="1"/>
        <v>68</v>
      </c>
      <c r="B92" s="120">
        <f t="shared" si="2"/>
        <v>5</v>
      </c>
      <c r="C92" s="120">
        <f t="shared" si="3"/>
        <v>337.5</v>
      </c>
      <c r="D92" s="124">
        <f t="shared" si="4"/>
        <v>-2.6465231788079459E-3</v>
      </c>
      <c r="E92" s="122">
        <f t="shared" si="5"/>
        <v>0</v>
      </c>
      <c r="F92" s="120">
        <f t="shared" si="6"/>
        <v>-8.5</v>
      </c>
      <c r="G92" s="122">
        <f t="shared" si="7"/>
        <v>-8.5</v>
      </c>
      <c r="H92" s="122">
        <f t="shared" si="8"/>
        <v>-14.875</v>
      </c>
      <c r="I92" s="125">
        <f t="shared" si="9"/>
        <v>-145.31818181818178</v>
      </c>
      <c r="J92" s="125">
        <f t="shared" si="10"/>
        <v>2.1616079545454538</v>
      </c>
    </row>
    <row r="93" spans="1:10" x14ac:dyDescent="0.2">
      <c r="A93" s="120">
        <f t="shared" si="1"/>
        <v>69</v>
      </c>
      <c r="B93" s="120">
        <f t="shared" si="2"/>
        <v>5</v>
      </c>
      <c r="C93" s="120">
        <f t="shared" si="3"/>
        <v>342.5</v>
      </c>
      <c r="D93" s="124">
        <f t="shared" si="4"/>
        <v>-2.7375827814569527E-3</v>
      </c>
      <c r="E93" s="122">
        <f t="shared" si="5"/>
        <v>0</v>
      </c>
      <c r="F93" s="120">
        <f t="shared" si="6"/>
        <v>-8.5</v>
      </c>
      <c r="G93" s="122">
        <f t="shared" si="7"/>
        <v>-8.5</v>
      </c>
      <c r="H93" s="122">
        <f t="shared" si="8"/>
        <v>-14.875</v>
      </c>
      <c r="I93" s="125">
        <f t="shared" si="9"/>
        <v>-150.31818181818178</v>
      </c>
      <c r="J93" s="125">
        <f t="shared" si="10"/>
        <v>2.2359829545454541</v>
      </c>
    </row>
    <row r="94" spans="1:10" x14ac:dyDescent="0.2">
      <c r="A94" s="103">
        <f t="shared" si="1"/>
        <v>70</v>
      </c>
      <c r="B94" s="103">
        <f t="shared" si="2"/>
        <v>5</v>
      </c>
      <c r="C94" s="103">
        <f t="shared" si="3"/>
        <v>347.5</v>
      </c>
      <c r="D94" s="134">
        <f t="shared" si="4"/>
        <v>-2.828642384105959E-3</v>
      </c>
      <c r="E94" s="128">
        <f t="shared" si="5"/>
        <v>0</v>
      </c>
      <c r="F94" s="103">
        <f t="shared" si="6"/>
        <v>-8.5</v>
      </c>
      <c r="G94" s="128">
        <f t="shared" si="7"/>
        <v>-8.5</v>
      </c>
      <c r="H94" s="128">
        <f t="shared" si="8"/>
        <v>-14.875</v>
      </c>
      <c r="I94" s="135">
        <f t="shared" si="9"/>
        <v>-155.31818181818178</v>
      </c>
      <c r="J94" s="135">
        <f t="shared" si="10"/>
        <v>2.310357954545454</v>
      </c>
    </row>
    <row r="95" spans="1:10" x14ac:dyDescent="0.2">
      <c r="D95" s="136"/>
    </row>
  </sheetData>
  <mergeCells count="14">
    <mergeCell ref="F14:G14"/>
    <mergeCell ref="A15:B15"/>
    <mergeCell ref="A1:G1"/>
    <mergeCell ref="A2:B2"/>
    <mergeCell ref="C2:D2"/>
    <mergeCell ref="A6:B6"/>
    <mergeCell ref="F6:H6"/>
    <mergeCell ref="F7:G7"/>
    <mergeCell ref="F8:G8"/>
    <mergeCell ref="F9:G9"/>
    <mergeCell ref="F10:G10"/>
    <mergeCell ref="F11:G11"/>
    <mergeCell ref="F12:G12"/>
    <mergeCell ref="F13:G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5"/>
  <sheetViews>
    <sheetView workbookViewId="0"/>
  </sheetViews>
  <sheetFormatPr baseColWidth="10" defaultColWidth="12.5703125" defaultRowHeight="12.75" x14ac:dyDescent="0.2"/>
  <cols>
    <col min="10" max="10" width="16.7109375" customWidth="1"/>
    <col min="20" max="20" width="16.28515625" customWidth="1"/>
  </cols>
  <sheetData>
    <row r="1" spans="1:8" x14ac:dyDescent="0.2">
      <c r="A1" s="143" t="s">
        <v>0</v>
      </c>
      <c r="B1" s="144"/>
      <c r="C1" s="144"/>
      <c r="D1" s="144"/>
      <c r="E1" s="144"/>
      <c r="F1" s="144"/>
      <c r="G1" s="145"/>
    </row>
    <row r="2" spans="1:8" x14ac:dyDescent="0.2">
      <c r="A2" s="146" t="s">
        <v>1</v>
      </c>
      <c r="B2" s="145"/>
      <c r="C2" s="146" t="s">
        <v>2</v>
      </c>
      <c r="D2" s="152"/>
      <c r="E2" s="100" t="s">
        <v>95</v>
      </c>
      <c r="F2" s="101" t="s">
        <v>96</v>
      </c>
      <c r="G2" s="102" t="s">
        <v>14</v>
      </c>
    </row>
    <row r="3" spans="1:8" x14ac:dyDescent="0.2">
      <c r="A3" s="4" t="s">
        <v>3</v>
      </c>
      <c r="B3" s="5">
        <v>350</v>
      </c>
      <c r="C3" s="73" t="s">
        <v>4</v>
      </c>
      <c r="D3" s="74">
        <v>420</v>
      </c>
      <c r="E3" s="103" t="s">
        <v>97</v>
      </c>
      <c r="F3" s="104" t="s">
        <v>98</v>
      </c>
      <c r="G3" s="105">
        <f>$B$11/($B$11+0.003)*$D$17</f>
        <v>162.61538461538461</v>
      </c>
    </row>
    <row r="4" spans="1:8" x14ac:dyDescent="0.2">
      <c r="A4" s="13" t="s">
        <v>6</v>
      </c>
      <c r="B4" s="14">
        <v>350</v>
      </c>
      <c r="C4" s="6" t="s">
        <v>7</v>
      </c>
      <c r="D4" s="7">
        <v>210</v>
      </c>
      <c r="E4" s="106" t="s">
        <v>99</v>
      </c>
      <c r="F4" s="107" t="s">
        <v>100</v>
      </c>
      <c r="G4" s="108">
        <v>5</v>
      </c>
    </row>
    <row r="5" spans="1:8" x14ac:dyDescent="0.2">
      <c r="A5" s="3" t="s">
        <v>9</v>
      </c>
      <c r="B5" s="19">
        <v>30</v>
      </c>
      <c r="C5" s="6" t="s">
        <v>10</v>
      </c>
      <c r="D5" s="20">
        <f>(D3)/(D4*1000)</f>
        <v>2E-3</v>
      </c>
    </row>
    <row r="6" spans="1:8" x14ac:dyDescent="0.2">
      <c r="A6" s="146" t="s">
        <v>12</v>
      </c>
      <c r="B6" s="145"/>
      <c r="C6" s="6" t="s">
        <v>13</v>
      </c>
      <c r="D6" s="7">
        <v>4</v>
      </c>
      <c r="F6" s="160" t="s">
        <v>51</v>
      </c>
      <c r="G6" s="144"/>
      <c r="H6" s="145"/>
    </row>
    <row r="7" spans="1:8" x14ac:dyDescent="0.2">
      <c r="A7" s="4" t="s">
        <v>15</v>
      </c>
      <c r="B7" s="25">
        <v>130</v>
      </c>
      <c r="C7" s="6" t="s">
        <v>16</v>
      </c>
      <c r="D7" s="7">
        <v>2</v>
      </c>
      <c r="F7" s="161" t="s">
        <v>82</v>
      </c>
      <c r="G7" s="162"/>
      <c r="H7" s="109">
        <f>SUMIF(H25:H94,"&gt;0",H25:H94)</f>
        <v>4102.9676031555555</v>
      </c>
    </row>
    <row r="8" spans="1:8" x14ac:dyDescent="0.2">
      <c r="A8" s="4" t="s">
        <v>87</v>
      </c>
      <c r="B8" s="77">
        <v>8.5</v>
      </c>
      <c r="C8" s="6" t="s">
        <v>19</v>
      </c>
      <c r="D8" s="7">
        <v>2</v>
      </c>
      <c r="F8" s="159" t="s">
        <v>83</v>
      </c>
      <c r="G8" s="149"/>
      <c r="H8" s="110">
        <f>SUMIF(H25:H94,"&lt;0",H25:H94)</f>
        <v>-543.85858598867549</v>
      </c>
    </row>
    <row r="9" spans="1:8" x14ac:dyDescent="0.2">
      <c r="A9" s="13" t="s">
        <v>88</v>
      </c>
      <c r="B9" s="6">
        <f>9115*1*(B7)^0.33</f>
        <v>45431.594485129361</v>
      </c>
      <c r="C9" s="6" t="s">
        <v>22</v>
      </c>
      <c r="D9" s="7">
        <v>4</v>
      </c>
      <c r="F9" s="159" t="s">
        <v>84</v>
      </c>
      <c r="G9" s="149"/>
      <c r="H9" s="111">
        <f>SUM(R25:R28)</f>
        <v>-45.019230778435428</v>
      </c>
    </row>
    <row r="10" spans="1:8" x14ac:dyDescent="0.2">
      <c r="A10" s="13" t="s">
        <v>89</v>
      </c>
      <c r="B10" s="78">
        <v>0.85</v>
      </c>
      <c r="C10" s="6" t="s">
        <v>27</v>
      </c>
      <c r="D10" s="7">
        <v>16</v>
      </c>
      <c r="F10" s="159" t="s">
        <v>85</v>
      </c>
      <c r="G10" s="149"/>
      <c r="H10" s="111">
        <f>H7+H8+H9</f>
        <v>3514.0897863884447</v>
      </c>
    </row>
    <row r="11" spans="1:8" x14ac:dyDescent="0.2">
      <c r="A11" s="3" t="s">
        <v>24</v>
      </c>
      <c r="B11" s="79">
        <v>3.5000000000000001E-3</v>
      </c>
      <c r="C11" s="6" t="s">
        <v>30</v>
      </c>
      <c r="D11" s="7">
        <v>16</v>
      </c>
      <c r="F11" s="159" t="s">
        <v>101</v>
      </c>
      <c r="G11" s="149"/>
      <c r="H11" s="112">
        <f>SUM(J25:J94)</f>
        <v>481.15482901163335</v>
      </c>
    </row>
    <row r="12" spans="1:8" x14ac:dyDescent="0.2">
      <c r="A12" s="3" t="s">
        <v>91</v>
      </c>
      <c r="B12" s="79">
        <v>4.4999999999999997E-3</v>
      </c>
      <c r="C12" s="6" t="s">
        <v>33</v>
      </c>
      <c r="D12" s="7">
        <v>16</v>
      </c>
      <c r="F12" s="159" t="s">
        <v>102</v>
      </c>
      <c r="G12" s="149"/>
      <c r="H12" s="111">
        <f>SUM(T25:T28)</f>
        <v>92.869183412146242</v>
      </c>
    </row>
    <row r="13" spans="1:8" x14ac:dyDescent="0.2">
      <c r="A13" s="3" t="s">
        <v>92</v>
      </c>
      <c r="B13" s="80">
        <f>B10*B7/B9</f>
        <v>2.4322280838320297E-3</v>
      </c>
      <c r="C13" s="6" t="s">
        <v>36</v>
      </c>
      <c r="D13" s="7">
        <v>16</v>
      </c>
      <c r="F13" s="159" t="s">
        <v>103</v>
      </c>
      <c r="G13" s="149"/>
      <c r="H13" s="112">
        <f>H11+H12</f>
        <v>574.0240124237796</v>
      </c>
    </row>
    <row r="14" spans="1:8" x14ac:dyDescent="0.2">
      <c r="A14" s="3" t="s">
        <v>93</v>
      </c>
      <c r="B14" s="81">
        <f>B8/B9</f>
        <v>1.8709446798707922E-4</v>
      </c>
      <c r="C14" s="6" t="s">
        <v>42</v>
      </c>
      <c r="D14" s="34">
        <f>B5+10+D10/2</f>
        <v>48</v>
      </c>
      <c r="F14" s="159" t="s">
        <v>86</v>
      </c>
      <c r="G14" s="149"/>
      <c r="H14" s="112">
        <f>H13+H10*($B$4/2-$G$3)/1000</f>
        <v>617.54466285520573</v>
      </c>
    </row>
    <row r="15" spans="1:8" x14ac:dyDescent="0.2">
      <c r="A15" s="146" t="s">
        <v>26</v>
      </c>
      <c r="B15" s="145"/>
      <c r="C15" s="33" t="s">
        <v>45</v>
      </c>
      <c r="D15" s="34">
        <f>D14+((D17-D14)/3)</f>
        <v>132.66666666666669</v>
      </c>
    </row>
    <row r="16" spans="1:8" x14ac:dyDescent="0.2">
      <c r="A16" s="73" t="s">
        <v>29</v>
      </c>
      <c r="B16" s="82">
        <f>B4*B3</f>
        <v>122500</v>
      </c>
      <c r="C16" s="6" t="s">
        <v>47</v>
      </c>
      <c r="D16" s="34">
        <f>D14+(2*(D17-D14)/3)</f>
        <v>217.33333333333334</v>
      </c>
    </row>
    <row r="17" spans="1:20" x14ac:dyDescent="0.2">
      <c r="A17" s="6" t="s">
        <v>32</v>
      </c>
      <c r="B17" s="33">
        <f t="shared" ref="B17:B20" si="0">(PI()/4)*(D10^2)*D6</f>
        <v>804.24771931898704</v>
      </c>
      <c r="C17" s="6" t="s">
        <v>48</v>
      </c>
      <c r="D17" s="34">
        <f>350-B5-10-D13/2</f>
        <v>302</v>
      </c>
    </row>
    <row r="18" spans="1:20" x14ac:dyDescent="0.2">
      <c r="A18" s="6" t="s">
        <v>35</v>
      </c>
      <c r="B18" s="33">
        <f t="shared" si="0"/>
        <v>402.12385965949352</v>
      </c>
    </row>
    <row r="19" spans="1:20" x14ac:dyDescent="0.2">
      <c r="A19" s="6" t="s">
        <v>38</v>
      </c>
      <c r="B19" s="33">
        <f t="shared" si="0"/>
        <v>402.12385965949352</v>
      </c>
    </row>
    <row r="20" spans="1:20" x14ac:dyDescent="0.2">
      <c r="A20" s="6" t="s">
        <v>41</v>
      </c>
      <c r="B20" s="33">
        <f t="shared" si="0"/>
        <v>804.24771931898704</v>
      </c>
    </row>
    <row r="21" spans="1:20" x14ac:dyDescent="0.2">
      <c r="A21" s="6" t="s">
        <v>46</v>
      </c>
      <c r="B21" s="33">
        <f>B17+B18+B19+B20</f>
        <v>2412.7431579569611</v>
      </c>
    </row>
    <row r="24" spans="1:20" x14ac:dyDescent="0.2">
      <c r="A24" s="106" t="s">
        <v>104</v>
      </c>
      <c r="B24" s="106" t="s">
        <v>100</v>
      </c>
      <c r="C24" s="106" t="s">
        <v>105</v>
      </c>
      <c r="D24" s="106" t="s">
        <v>106</v>
      </c>
      <c r="E24" s="106" t="s">
        <v>107</v>
      </c>
      <c r="F24" s="106" t="s">
        <v>108</v>
      </c>
      <c r="G24" s="106" t="s">
        <v>109</v>
      </c>
      <c r="H24" s="106" t="s">
        <v>110</v>
      </c>
      <c r="I24" s="106" t="s">
        <v>111</v>
      </c>
      <c r="J24" s="106" t="s">
        <v>101</v>
      </c>
      <c r="L24" s="113" t="s">
        <v>112</v>
      </c>
      <c r="M24" s="114" t="s">
        <v>113</v>
      </c>
      <c r="N24" s="114" t="s">
        <v>114</v>
      </c>
      <c r="O24" s="114" t="s">
        <v>65</v>
      </c>
      <c r="P24" s="114" t="s">
        <v>115</v>
      </c>
      <c r="Q24" s="114" t="s">
        <v>116</v>
      </c>
      <c r="R24" s="114" t="s">
        <v>117</v>
      </c>
      <c r="S24" s="114" t="s">
        <v>118</v>
      </c>
      <c r="T24" s="115" t="s">
        <v>102</v>
      </c>
    </row>
    <row r="25" spans="1:20" x14ac:dyDescent="0.2">
      <c r="A25" s="116">
        <f t="shared" ref="A25:A94" si="1">ROW()-24</f>
        <v>1</v>
      </c>
      <c r="B25" s="116">
        <f t="shared" ref="B25:B94" si="2">$G$4</f>
        <v>5</v>
      </c>
      <c r="C25" s="116">
        <f t="shared" ref="C25:C94" si="3">(A25-0.5)*$G$4</f>
        <v>2.5</v>
      </c>
      <c r="D25" s="117">
        <f t="shared" ref="D25:D94" si="4">$B$11*($G$3-C25)/$G$3</f>
        <v>3.4461920529801327E-3</v>
      </c>
      <c r="E25" s="116">
        <f t="shared" ref="E25:E94" si="5">IF(D25&gt;=0,MIN($B$9*D25,$B$10*$B$7),0)</f>
        <v>110.5</v>
      </c>
      <c r="F25" s="116">
        <f t="shared" ref="F25:F94" si="6">IF(D25&lt;0,IF(ABS(D25)&lt;=$B$12,-MIN($B$9*ABS(D25),$B$8),0),0)</f>
        <v>0</v>
      </c>
      <c r="G25" s="116">
        <f t="shared" ref="G25:G94" si="7">E25+F25</f>
        <v>110.5</v>
      </c>
      <c r="H25" s="116">
        <f t="shared" ref="H25:H94" si="8">G25*$B$3*B25/1000</f>
        <v>193.375</v>
      </c>
      <c r="I25" s="119">
        <f t="shared" ref="I25:I94" si="9">$G$3-C25</f>
        <v>160.11538461538461</v>
      </c>
      <c r="J25" s="119">
        <f t="shared" ref="J25:J94" si="10">H25*I25/1000</f>
        <v>30.962312499999999</v>
      </c>
      <c r="L25" s="120">
        <f>1</f>
        <v>1</v>
      </c>
      <c r="M25" s="121">
        <f t="shared" ref="M25:M28" si="11">D6</f>
        <v>4</v>
      </c>
      <c r="N25" s="122">
        <f t="shared" ref="N25:N28" si="12">B17</f>
        <v>804.24771931898704</v>
      </c>
      <c r="O25" s="123">
        <f t="shared" ref="O25:O28" si="13">D14</f>
        <v>48</v>
      </c>
      <c r="P25" s="124">
        <f t="shared" ref="P25:P28" si="14">$B$11*($G$3-O25)/$G$3</f>
        <v>2.4668874172185428E-3</v>
      </c>
      <c r="Q25" s="121">
        <f t="shared" ref="Q25:Q28" si="15">MAX(-$D$3,MIN($D$3,$D$4*1000*P25))</f>
        <v>420</v>
      </c>
      <c r="R25" s="122">
        <f t="shared" ref="R25:R28" si="16">Q25*N25/1000</f>
        <v>337.78404211397458</v>
      </c>
      <c r="S25" s="123">
        <f t="shared" ref="S25:S28" si="17">$G$3-O25</f>
        <v>114.61538461538461</v>
      </c>
      <c r="T25" s="122">
        <f t="shared" ref="T25:T28" si="18">R25*S25/1000</f>
        <v>38.71524790383247</v>
      </c>
    </row>
    <row r="26" spans="1:20" x14ac:dyDescent="0.2">
      <c r="A26" s="120">
        <f t="shared" si="1"/>
        <v>2</v>
      </c>
      <c r="B26" s="120">
        <f t="shared" si="2"/>
        <v>5</v>
      </c>
      <c r="C26" s="120">
        <f t="shared" si="3"/>
        <v>7.5</v>
      </c>
      <c r="D26" s="124">
        <f t="shared" si="4"/>
        <v>3.3385761589403971E-3</v>
      </c>
      <c r="E26" s="120">
        <f t="shared" si="5"/>
        <v>110.5</v>
      </c>
      <c r="F26" s="120">
        <f t="shared" si="6"/>
        <v>0</v>
      </c>
      <c r="G26" s="120">
        <f t="shared" si="7"/>
        <v>110.5</v>
      </c>
      <c r="H26" s="120">
        <f t="shared" si="8"/>
        <v>193.375</v>
      </c>
      <c r="I26" s="125">
        <f t="shared" si="9"/>
        <v>155.11538461538461</v>
      </c>
      <c r="J26" s="125">
        <f t="shared" si="10"/>
        <v>29.995437500000001</v>
      </c>
      <c r="L26" s="120">
        <f>2</f>
        <v>2</v>
      </c>
      <c r="M26" s="121">
        <f t="shared" si="11"/>
        <v>2</v>
      </c>
      <c r="N26" s="122">
        <f t="shared" si="12"/>
        <v>402.12385965949352</v>
      </c>
      <c r="O26" s="123">
        <f t="shared" si="13"/>
        <v>132.66666666666669</v>
      </c>
      <c r="P26" s="126">
        <f t="shared" si="14"/>
        <v>6.4459161147902824E-4</v>
      </c>
      <c r="Q26" s="121">
        <f t="shared" si="15"/>
        <v>135.36423841059593</v>
      </c>
      <c r="R26" s="122">
        <f t="shared" si="16"/>
        <v>54.433190009536702</v>
      </c>
      <c r="S26" s="123">
        <f t="shared" si="17"/>
        <v>29.948717948717928</v>
      </c>
      <c r="T26" s="122">
        <f t="shared" si="18"/>
        <v>1.6302042546445852</v>
      </c>
    </row>
    <row r="27" spans="1:20" x14ac:dyDescent="0.2">
      <c r="A27" s="120">
        <f t="shared" si="1"/>
        <v>3</v>
      </c>
      <c r="B27" s="120">
        <f t="shared" si="2"/>
        <v>5</v>
      </c>
      <c r="C27" s="120">
        <f t="shared" si="3"/>
        <v>12.5</v>
      </c>
      <c r="D27" s="124">
        <f t="shared" si="4"/>
        <v>3.2309602649006623E-3</v>
      </c>
      <c r="E27" s="120">
        <f t="shared" si="5"/>
        <v>110.5</v>
      </c>
      <c r="F27" s="120">
        <f t="shared" si="6"/>
        <v>0</v>
      </c>
      <c r="G27" s="120">
        <f t="shared" si="7"/>
        <v>110.5</v>
      </c>
      <c r="H27" s="120">
        <f t="shared" si="8"/>
        <v>193.375</v>
      </c>
      <c r="I27" s="125">
        <f t="shared" si="9"/>
        <v>150.11538461538461</v>
      </c>
      <c r="J27" s="125">
        <f t="shared" si="10"/>
        <v>29.0285625</v>
      </c>
      <c r="L27" s="120">
        <v>3</v>
      </c>
      <c r="M27" s="121">
        <f t="shared" si="11"/>
        <v>2</v>
      </c>
      <c r="N27" s="122">
        <f t="shared" si="12"/>
        <v>402.12385965949352</v>
      </c>
      <c r="O27" s="123">
        <f t="shared" si="13"/>
        <v>217.33333333333334</v>
      </c>
      <c r="P27" s="126">
        <f t="shared" si="14"/>
        <v>-1.1777041942604861E-3</v>
      </c>
      <c r="Q27" s="121">
        <f t="shared" si="15"/>
        <v>-247.31788079470206</v>
      </c>
      <c r="R27" s="122">
        <f t="shared" si="16"/>
        <v>-99.452420787972116</v>
      </c>
      <c r="S27" s="123">
        <f t="shared" si="17"/>
        <v>-54.71794871794873</v>
      </c>
      <c r="T27" s="122">
        <f t="shared" si="18"/>
        <v>5.4418324605521162</v>
      </c>
    </row>
    <row r="28" spans="1:20" x14ac:dyDescent="0.2">
      <c r="A28" s="120">
        <f t="shared" si="1"/>
        <v>4</v>
      </c>
      <c r="B28" s="120">
        <f t="shared" si="2"/>
        <v>5</v>
      </c>
      <c r="C28" s="120">
        <f t="shared" si="3"/>
        <v>17.5</v>
      </c>
      <c r="D28" s="124">
        <f t="shared" si="4"/>
        <v>3.1233443708609276E-3</v>
      </c>
      <c r="E28" s="120">
        <f t="shared" si="5"/>
        <v>110.5</v>
      </c>
      <c r="F28" s="120">
        <f t="shared" si="6"/>
        <v>0</v>
      </c>
      <c r="G28" s="120">
        <f t="shared" si="7"/>
        <v>110.5</v>
      </c>
      <c r="H28" s="120">
        <f t="shared" si="8"/>
        <v>193.375</v>
      </c>
      <c r="I28" s="125">
        <f t="shared" si="9"/>
        <v>145.11538461538461</v>
      </c>
      <c r="J28" s="125">
        <f t="shared" si="10"/>
        <v>28.061687500000001</v>
      </c>
      <c r="L28" s="103">
        <v>4</v>
      </c>
      <c r="M28" s="127">
        <f t="shared" si="11"/>
        <v>4</v>
      </c>
      <c r="N28" s="128">
        <f t="shared" si="12"/>
        <v>804.24771931898704</v>
      </c>
      <c r="O28" s="129">
        <f t="shared" si="13"/>
        <v>302</v>
      </c>
      <c r="P28" s="103">
        <f t="shared" si="14"/>
        <v>-3.0000000000000001E-3</v>
      </c>
      <c r="Q28" s="127">
        <f t="shared" si="15"/>
        <v>-420</v>
      </c>
      <c r="R28" s="128">
        <f t="shared" si="16"/>
        <v>-337.78404211397458</v>
      </c>
      <c r="S28" s="129">
        <f t="shared" si="17"/>
        <v>-139.38461538461539</v>
      </c>
      <c r="T28" s="128">
        <f t="shared" si="18"/>
        <v>47.08189879311707</v>
      </c>
    </row>
    <row r="29" spans="1:20" x14ac:dyDescent="0.2">
      <c r="A29" s="120">
        <f t="shared" si="1"/>
        <v>5</v>
      </c>
      <c r="B29" s="120">
        <f t="shared" si="2"/>
        <v>5</v>
      </c>
      <c r="C29" s="120">
        <f t="shared" si="3"/>
        <v>22.5</v>
      </c>
      <c r="D29" s="124">
        <f t="shared" si="4"/>
        <v>3.015728476821192E-3</v>
      </c>
      <c r="E29" s="120">
        <f t="shared" si="5"/>
        <v>110.5</v>
      </c>
      <c r="F29" s="120">
        <f t="shared" si="6"/>
        <v>0</v>
      </c>
      <c r="G29" s="120">
        <f t="shared" si="7"/>
        <v>110.5</v>
      </c>
      <c r="H29" s="120">
        <f t="shared" si="8"/>
        <v>193.375</v>
      </c>
      <c r="I29" s="125">
        <f t="shared" si="9"/>
        <v>140.11538461538461</v>
      </c>
      <c r="J29" s="125">
        <f t="shared" si="10"/>
        <v>27.0948125</v>
      </c>
      <c r="R29" s="130"/>
    </row>
    <row r="30" spans="1:20" x14ac:dyDescent="0.2">
      <c r="A30" s="120">
        <f t="shared" si="1"/>
        <v>6</v>
      </c>
      <c r="B30" s="120">
        <f t="shared" si="2"/>
        <v>5</v>
      </c>
      <c r="C30" s="120">
        <f t="shared" si="3"/>
        <v>27.5</v>
      </c>
      <c r="D30" s="124">
        <f t="shared" si="4"/>
        <v>2.9081125827814572E-3</v>
      </c>
      <c r="E30" s="120">
        <f t="shared" si="5"/>
        <v>110.5</v>
      </c>
      <c r="F30" s="120">
        <f t="shared" si="6"/>
        <v>0</v>
      </c>
      <c r="G30" s="120">
        <f t="shared" si="7"/>
        <v>110.5</v>
      </c>
      <c r="H30" s="120">
        <f t="shared" si="8"/>
        <v>193.375</v>
      </c>
      <c r="I30" s="125">
        <f t="shared" si="9"/>
        <v>135.11538461538461</v>
      </c>
      <c r="J30" s="125">
        <f t="shared" si="10"/>
        <v>26.127937500000002</v>
      </c>
    </row>
    <row r="31" spans="1:20" x14ac:dyDescent="0.2">
      <c r="A31" s="120">
        <f t="shared" si="1"/>
        <v>7</v>
      </c>
      <c r="B31" s="120">
        <f t="shared" si="2"/>
        <v>5</v>
      </c>
      <c r="C31" s="120">
        <f t="shared" si="3"/>
        <v>32.5</v>
      </c>
      <c r="D31" s="124">
        <f t="shared" si="4"/>
        <v>2.800496688741722E-3</v>
      </c>
      <c r="E31" s="120">
        <f t="shared" si="5"/>
        <v>110.5</v>
      </c>
      <c r="F31" s="120">
        <f t="shared" si="6"/>
        <v>0</v>
      </c>
      <c r="G31" s="120">
        <f t="shared" si="7"/>
        <v>110.5</v>
      </c>
      <c r="H31" s="120">
        <f t="shared" si="8"/>
        <v>193.375</v>
      </c>
      <c r="I31" s="125">
        <f t="shared" si="9"/>
        <v>130.11538461538461</v>
      </c>
      <c r="J31" s="125">
        <f t="shared" si="10"/>
        <v>25.1610625</v>
      </c>
    </row>
    <row r="32" spans="1:20" x14ac:dyDescent="0.2">
      <c r="A32" s="120">
        <f t="shared" si="1"/>
        <v>8</v>
      </c>
      <c r="B32" s="120">
        <f t="shared" si="2"/>
        <v>5</v>
      </c>
      <c r="C32" s="120">
        <f t="shared" si="3"/>
        <v>37.5</v>
      </c>
      <c r="D32" s="124">
        <f t="shared" si="4"/>
        <v>2.6928807947019869E-3</v>
      </c>
      <c r="E32" s="120">
        <f t="shared" si="5"/>
        <v>110.5</v>
      </c>
      <c r="F32" s="120">
        <f t="shared" si="6"/>
        <v>0</v>
      </c>
      <c r="G32" s="120">
        <f t="shared" si="7"/>
        <v>110.5</v>
      </c>
      <c r="H32" s="120">
        <f t="shared" si="8"/>
        <v>193.375</v>
      </c>
      <c r="I32" s="125">
        <f t="shared" si="9"/>
        <v>125.11538461538461</v>
      </c>
      <c r="J32" s="125">
        <f t="shared" si="10"/>
        <v>24.194187500000002</v>
      </c>
    </row>
    <row r="33" spans="1:19" x14ac:dyDescent="0.2">
      <c r="A33" s="120">
        <f t="shared" si="1"/>
        <v>9</v>
      </c>
      <c r="B33" s="120">
        <f t="shared" si="2"/>
        <v>5</v>
      </c>
      <c r="C33" s="120">
        <f t="shared" si="3"/>
        <v>42.5</v>
      </c>
      <c r="D33" s="124">
        <f t="shared" si="4"/>
        <v>2.5852649006622517E-3</v>
      </c>
      <c r="E33" s="120">
        <f t="shared" si="5"/>
        <v>110.5</v>
      </c>
      <c r="F33" s="120">
        <f t="shared" si="6"/>
        <v>0</v>
      </c>
      <c r="G33" s="120">
        <f t="shared" si="7"/>
        <v>110.5</v>
      </c>
      <c r="H33" s="120">
        <f t="shared" si="8"/>
        <v>193.375</v>
      </c>
      <c r="I33" s="125">
        <f t="shared" si="9"/>
        <v>120.11538461538461</v>
      </c>
      <c r="J33" s="125">
        <f t="shared" si="10"/>
        <v>23.2273125</v>
      </c>
    </row>
    <row r="34" spans="1:19" x14ac:dyDescent="0.2">
      <c r="A34" s="120">
        <f t="shared" si="1"/>
        <v>10</v>
      </c>
      <c r="B34" s="120">
        <f t="shared" si="2"/>
        <v>5</v>
      </c>
      <c r="C34" s="120">
        <f t="shared" si="3"/>
        <v>47.5</v>
      </c>
      <c r="D34" s="124">
        <f t="shared" si="4"/>
        <v>2.4776490066225165E-3</v>
      </c>
      <c r="E34" s="120">
        <f t="shared" si="5"/>
        <v>110.5</v>
      </c>
      <c r="F34" s="120">
        <f t="shared" si="6"/>
        <v>0</v>
      </c>
      <c r="G34" s="120">
        <f t="shared" si="7"/>
        <v>110.5</v>
      </c>
      <c r="H34" s="120">
        <f t="shared" si="8"/>
        <v>193.375</v>
      </c>
      <c r="I34" s="125">
        <f t="shared" si="9"/>
        <v>115.11538461538461</v>
      </c>
      <c r="J34" s="125">
        <f t="shared" si="10"/>
        <v>22.260437499999998</v>
      </c>
      <c r="M34" s="131"/>
      <c r="N34" s="130"/>
      <c r="O34" s="132"/>
      <c r="Q34" s="131"/>
      <c r="S34" s="132"/>
    </row>
    <row r="35" spans="1:19" x14ac:dyDescent="0.2">
      <c r="A35" s="120">
        <f t="shared" si="1"/>
        <v>11</v>
      </c>
      <c r="B35" s="120">
        <f t="shared" si="2"/>
        <v>5</v>
      </c>
      <c r="C35" s="120">
        <f t="shared" si="3"/>
        <v>52.5</v>
      </c>
      <c r="D35" s="124">
        <f t="shared" si="4"/>
        <v>2.3700331125827813E-3</v>
      </c>
      <c r="E35" s="123">
        <f t="shared" si="5"/>
        <v>107.67438328718985</v>
      </c>
      <c r="F35" s="120">
        <f t="shared" si="6"/>
        <v>0</v>
      </c>
      <c r="G35" s="123">
        <f t="shared" si="7"/>
        <v>107.67438328718985</v>
      </c>
      <c r="H35" s="122">
        <f t="shared" si="8"/>
        <v>188.43017075258223</v>
      </c>
      <c r="I35" s="125">
        <f t="shared" si="9"/>
        <v>110.11538461538461</v>
      </c>
      <c r="J35" s="125">
        <f t="shared" si="10"/>
        <v>20.749060725563186</v>
      </c>
    </row>
    <row r="36" spans="1:19" x14ac:dyDescent="0.2">
      <c r="A36" s="120">
        <f t="shared" si="1"/>
        <v>12</v>
      </c>
      <c r="B36" s="120">
        <f t="shared" si="2"/>
        <v>5</v>
      </c>
      <c r="C36" s="120">
        <f t="shared" si="3"/>
        <v>57.5</v>
      </c>
      <c r="D36" s="124">
        <f t="shared" si="4"/>
        <v>2.2624172185430461E-3</v>
      </c>
      <c r="E36" s="123">
        <f t="shared" si="5"/>
        <v>102.78522162902196</v>
      </c>
      <c r="F36" s="120">
        <f t="shared" si="6"/>
        <v>0</v>
      </c>
      <c r="G36" s="123">
        <f t="shared" si="7"/>
        <v>102.78522162902196</v>
      </c>
      <c r="H36" s="122">
        <f t="shared" si="8"/>
        <v>179.87413785078843</v>
      </c>
      <c r="I36" s="125">
        <f t="shared" si="9"/>
        <v>105.11538461538461</v>
      </c>
      <c r="J36" s="125">
        <f t="shared" si="10"/>
        <v>18.907539182546337</v>
      </c>
    </row>
    <row r="37" spans="1:19" x14ac:dyDescent="0.2">
      <c r="A37" s="120">
        <f t="shared" si="1"/>
        <v>13</v>
      </c>
      <c r="B37" s="120">
        <f t="shared" si="2"/>
        <v>5</v>
      </c>
      <c r="C37" s="120">
        <f t="shared" si="3"/>
        <v>62.5</v>
      </c>
      <c r="D37" s="124">
        <f t="shared" si="4"/>
        <v>2.1548013245033114E-3</v>
      </c>
      <c r="E37" s="123">
        <f t="shared" si="5"/>
        <v>97.896059970854083</v>
      </c>
      <c r="F37" s="120">
        <f t="shared" si="6"/>
        <v>0</v>
      </c>
      <c r="G37" s="123">
        <f t="shared" si="7"/>
        <v>97.896059970854083</v>
      </c>
      <c r="H37" s="122">
        <f t="shared" si="8"/>
        <v>171.31810494899466</v>
      </c>
      <c r="I37" s="125">
        <f t="shared" si="9"/>
        <v>100.11538461538461</v>
      </c>
      <c r="J37" s="125">
        <f t="shared" si="10"/>
        <v>17.151577968547425</v>
      </c>
    </row>
    <row r="38" spans="1:19" x14ac:dyDescent="0.2">
      <c r="A38" s="120">
        <f t="shared" si="1"/>
        <v>14</v>
      </c>
      <c r="B38" s="120">
        <f t="shared" si="2"/>
        <v>5</v>
      </c>
      <c r="C38" s="120">
        <f t="shared" si="3"/>
        <v>67.5</v>
      </c>
      <c r="D38" s="124">
        <f t="shared" si="4"/>
        <v>2.0471854304635762E-3</v>
      </c>
      <c r="E38" s="123">
        <f t="shared" si="5"/>
        <v>93.006898312686189</v>
      </c>
      <c r="F38" s="120">
        <f t="shared" si="6"/>
        <v>0</v>
      </c>
      <c r="G38" s="123">
        <f t="shared" si="7"/>
        <v>93.006898312686189</v>
      </c>
      <c r="H38" s="122">
        <f t="shared" si="8"/>
        <v>162.76207204720083</v>
      </c>
      <c r="I38" s="125">
        <f t="shared" si="9"/>
        <v>95.115384615384613</v>
      </c>
      <c r="J38" s="125">
        <f t="shared" si="10"/>
        <v>15.481177083566449</v>
      </c>
    </row>
    <row r="39" spans="1:19" x14ac:dyDescent="0.2">
      <c r="A39" s="120">
        <f t="shared" si="1"/>
        <v>15</v>
      </c>
      <c r="B39" s="120">
        <f t="shared" si="2"/>
        <v>5</v>
      </c>
      <c r="C39" s="120">
        <f t="shared" si="3"/>
        <v>72.5</v>
      </c>
      <c r="D39" s="124">
        <f t="shared" si="4"/>
        <v>1.939569536423841E-3</v>
      </c>
      <c r="E39" s="123">
        <f t="shared" si="5"/>
        <v>88.117736654518282</v>
      </c>
      <c r="F39" s="120">
        <f t="shared" si="6"/>
        <v>0</v>
      </c>
      <c r="G39" s="123">
        <f t="shared" si="7"/>
        <v>88.117736654518282</v>
      </c>
      <c r="H39" s="122">
        <f t="shared" si="8"/>
        <v>154.206039145407</v>
      </c>
      <c r="I39" s="125">
        <f t="shared" si="9"/>
        <v>90.115384615384613</v>
      </c>
      <c r="J39" s="125">
        <f t="shared" si="10"/>
        <v>13.896336527603408</v>
      </c>
    </row>
    <row r="40" spans="1:19" x14ac:dyDescent="0.2">
      <c r="A40" s="120">
        <f t="shared" si="1"/>
        <v>16</v>
      </c>
      <c r="B40" s="120">
        <f t="shared" si="2"/>
        <v>5</v>
      </c>
      <c r="C40" s="120">
        <f t="shared" si="3"/>
        <v>77.5</v>
      </c>
      <c r="D40" s="124">
        <f t="shared" si="4"/>
        <v>1.8319536423841059E-3</v>
      </c>
      <c r="E40" s="123">
        <f t="shared" si="5"/>
        <v>83.228574996350389</v>
      </c>
      <c r="F40" s="120">
        <f t="shared" si="6"/>
        <v>0</v>
      </c>
      <c r="G40" s="123">
        <f t="shared" si="7"/>
        <v>83.228574996350389</v>
      </c>
      <c r="H40" s="122">
        <f t="shared" si="8"/>
        <v>145.65000624361321</v>
      </c>
      <c r="I40" s="125">
        <f t="shared" si="9"/>
        <v>85.115384615384613</v>
      </c>
      <c r="J40" s="125">
        <f t="shared" si="10"/>
        <v>12.397056300658308</v>
      </c>
    </row>
    <row r="41" spans="1:19" x14ac:dyDescent="0.2">
      <c r="A41" s="120">
        <f t="shared" si="1"/>
        <v>17</v>
      </c>
      <c r="B41" s="120">
        <f t="shared" si="2"/>
        <v>5</v>
      </c>
      <c r="C41" s="120">
        <f t="shared" si="3"/>
        <v>82.5</v>
      </c>
      <c r="D41" s="124">
        <f t="shared" si="4"/>
        <v>1.7243377483443709E-3</v>
      </c>
      <c r="E41" s="123">
        <f t="shared" si="5"/>
        <v>78.339413338182496</v>
      </c>
      <c r="F41" s="120">
        <f t="shared" si="6"/>
        <v>0</v>
      </c>
      <c r="G41" s="123">
        <f t="shared" si="7"/>
        <v>78.339413338182496</v>
      </c>
      <c r="H41" s="122">
        <f t="shared" si="8"/>
        <v>137.09397334181938</v>
      </c>
      <c r="I41" s="125">
        <f t="shared" si="9"/>
        <v>80.115384615384613</v>
      </c>
      <c r="J41" s="125">
        <f t="shared" si="10"/>
        <v>10.983336402731144</v>
      </c>
    </row>
    <row r="42" spans="1:19" x14ac:dyDescent="0.2">
      <c r="A42" s="120">
        <f t="shared" si="1"/>
        <v>18</v>
      </c>
      <c r="B42" s="120">
        <f t="shared" si="2"/>
        <v>5</v>
      </c>
      <c r="C42" s="120">
        <f t="shared" si="3"/>
        <v>87.5</v>
      </c>
      <c r="D42" s="124">
        <f t="shared" si="4"/>
        <v>1.6167218543046357E-3</v>
      </c>
      <c r="E42" s="123">
        <f t="shared" si="5"/>
        <v>73.450251680014603</v>
      </c>
      <c r="F42" s="120">
        <f t="shared" si="6"/>
        <v>0</v>
      </c>
      <c r="G42" s="123">
        <f t="shared" si="7"/>
        <v>73.450251680014603</v>
      </c>
      <c r="H42" s="122">
        <f t="shared" si="8"/>
        <v>128.53794044002555</v>
      </c>
      <c r="I42" s="125">
        <f t="shared" si="9"/>
        <v>75.115384615384613</v>
      </c>
      <c r="J42" s="125">
        <f t="shared" si="10"/>
        <v>9.655176833821919</v>
      </c>
    </row>
    <row r="43" spans="1:19" x14ac:dyDescent="0.2">
      <c r="A43" s="120">
        <f t="shared" si="1"/>
        <v>19</v>
      </c>
      <c r="B43" s="120">
        <f t="shared" si="2"/>
        <v>5</v>
      </c>
      <c r="C43" s="120">
        <f t="shared" si="3"/>
        <v>92.5</v>
      </c>
      <c r="D43" s="124">
        <f t="shared" si="4"/>
        <v>1.5091059602649005E-3</v>
      </c>
      <c r="E43" s="123">
        <f t="shared" si="5"/>
        <v>68.561090021846709</v>
      </c>
      <c r="F43" s="120">
        <f t="shared" si="6"/>
        <v>0</v>
      </c>
      <c r="G43" s="123">
        <f t="shared" si="7"/>
        <v>68.561090021846709</v>
      </c>
      <c r="H43" s="122">
        <f t="shared" si="8"/>
        <v>119.98190753823174</v>
      </c>
      <c r="I43" s="125">
        <f t="shared" si="9"/>
        <v>70.115384615384613</v>
      </c>
      <c r="J43" s="125">
        <f t="shared" si="10"/>
        <v>8.4125775939306333</v>
      </c>
    </row>
    <row r="44" spans="1:19" x14ac:dyDescent="0.2">
      <c r="A44" s="120">
        <f t="shared" si="1"/>
        <v>20</v>
      </c>
      <c r="B44" s="120">
        <f t="shared" si="2"/>
        <v>5</v>
      </c>
      <c r="C44" s="120">
        <f t="shared" si="3"/>
        <v>97.5</v>
      </c>
      <c r="D44" s="124">
        <f t="shared" si="4"/>
        <v>1.4014900662251656E-3</v>
      </c>
      <c r="E44" s="123">
        <f t="shared" si="5"/>
        <v>63.671928363678816</v>
      </c>
      <c r="F44" s="120">
        <f t="shared" si="6"/>
        <v>0</v>
      </c>
      <c r="G44" s="123">
        <f t="shared" si="7"/>
        <v>63.671928363678816</v>
      </c>
      <c r="H44" s="122">
        <f t="shared" si="8"/>
        <v>111.42587463643794</v>
      </c>
      <c r="I44" s="125">
        <f t="shared" si="9"/>
        <v>65.115384615384613</v>
      </c>
      <c r="J44" s="125">
        <f t="shared" si="10"/>
        <v>7.255538683057285</v>
      </c>
    </row>
    <row r="45" spans="1:19" x14ac:dyDescent="0.2">
      <c r="A45" s="120">
        <f t="shared" si="1"/>
        <v>21</v>
      </c>
      <c r="B45" s="120">
        <f t="shared" si="2"/>
        <v>5</v>
      </c>
      <c r="C45" s="120">
        <f t="shared" si="3"/>
        <v>102.5</v>
      </c>
      <c r="D45" s="124">
        <f t="shared" si="4"/>
        <v>1.2938741721854306E-3</v>
      </c>
      <c r="E45" s="123">
        <f t="shared" si="5"/>
        <v>58.782766705510923</v>
      </c>
      <c r="F45" s="120">
        <f t="shared" si="6"/>
        <v>0</v>
      </c>
      <c r="G45" s="123">
        <f t="shared" si="7"/>
        <v>58.782766705510923</v>
      </c>
      <c r="H45" s="122">
        <f t="shared" si="8"/>
        <v>102.86984173464413</v>
      </c>
      <c r="I45" s="125">
        <f t="shared" si="9"/>
        <v>60.115384615384613</v>
      </c>
      <c r="J45" s="125">
        <f t="shared" si="10"/>
        <v>6.184060101201875</v>
      </c>
    </row>
    <row r="46" spans="1:19" x14ac:dyDescent="0.2">
      <c r="A46" s="120">
        <f t="shared" si="1"/>
        <v>22</v>
      </c>
      <c r="B46" s="120">
        <f t="shared" si="2"/>
        <v>5</v>
      </c>
      <c r="C46" s="120">
        <f t="shared" si="3"/>
        <v>107.5</v>
      </c>
      <c r="D46" s="124">
        <f t="shared" si="4"/>
        <v>1.1862582781456954E-3</v>
      </c>
      <c r="E46" s="123">
        <f t="shared" si="5"/>
        <v>53.89360504734303</v>
      </c>
      <c r="F46" s="120">
        <f t="shared" si="6"/>
        <v>0</v>
      </c>
      <c r="G46" s="123">
        <f t="shared" si="7"/>
        <v>53.89360504734303</v>
      </c>
      <c r="H46" s="122">
        <f t="shared" si="8"/>
        <v>94.313808832850313</v>
      </c>
      <c r="I46" s="125">
        <f t="shared" si="9"/>
        <v>55.115384615384613</v>
      </c>
      <c r="J46" s="125">
        <f t="shared" si="10"/>
        <v>5.1981418483644042</v>
      </c>
    </row>
    <row r="47" spans="1:19" x14ac:dyDescent="0.2">
      <c r="A47" s="120">
        <f t="shared" si="1"/>
        <v>23</v>
      </c>
      <c r="B47" s="120">
        <f t="shared" si="2"/>
        <v>5</v>
      </c>
      <c r="C47" s="120">
        <f t="shared" si="3"/>
        <v>112.5</v>
      </c>
      <c r="D47" s="124">
        <f t="shared" si="4"/>
        <v>1.0786423841059602E-3</v>
      </c>
      <c r="E47" s="123">
        <f t="shared" si="5"/>
        <v>49.00444338917513</v>
      </c>
      <c r="F47" s="120">
        <f t="shared" si="6"/>
        <v>0</v>
      </c>
      <c r="G47" s="123">
        <f t="shared" si="7"/>
        <v>49.00444338917513</v>
      </c>
      <c r="H47" s="122">
        <f t="shared" si="8"/>
        <v>85.757775931056472</v>
      </c>
      <c r="I47" s="125">
        <f t="shared" si="9"/>
        <v>50.115384615384613</v>
      </c>
      <c r="J47" s="125">
        <f t="shared" si="10"/>
        <v>4.2977839245448681</v>
      </c>
    </row>
    <row r="48" spans="1:19" x14ac:dyDescent="0.2">
      <c r="A48" s="120">
        <f t="shared" si="1"/>
        <v>24</v>
      </c>
      <c r="B48" s="120">
        <f t="shared" si="2"/>
        <v>5</v>
      </c>
      <c r="C48" s="120">
        <f t="shared" si="3"/>
        <v>117.5</v>
      </c>
      <c r="D48" s="124">
        <f t="shared" si="4"/>
        <v>9.7102649006622517E-4</v>
      </c>
      <c r="E48" s="123">
        <f t="shared" si="5"/>
        <v>44.115281731007236</v>
      </c>
      <c r="F48" s="120">
        <f t="shared" si="6"/>
        <v>0</v>
      </c>
      <c r="G48" s="123">
        <f t="shared" si="7"/>
        <v>44.115281731007236</v>
      </c>
      <c r="H48" s="122">
        <f t="shared" si="8"/>
        <v>77.201743029262673</v>
      </c>
      <c r="I48" s="125">
        <f t="shared" si="9"/>
        <v>45.115384615384613</v>
      </c>
      <c r="J48" s="125">
        <f t="shared" si="10"/>
        <v>3.4829863297432735</v>
      </c>
    </row>
    <row r="49" spans="1:10" x14ac:dyDescent="0.2">
      <c r="A49" s="120">
        <f t="shared" si="1"/>
        <v>25</v>
      </c>
      <c r="B49" s="120">
        <f t="shared" si="2"/>
        <v>5</v>
      </c>
      <c r="C49" s="120">
        <f t="shared" si="3"/>
        <v>122.5</v>
      </c>
      <c r="D49" s="124">
        <f t="shared" si="4"/>
        <v>8.634105960264901E-4</v>
      </c>
      <c r="E49" s="123">
        <f t="shared" si="5"/>
        <v>39.226120072839343</v>
      </c>
      <c r="F49" s="120">
        <f t="shared" si="6"/>
        <v>0</v>
      </c>
      <c r="G49" s="123">
        <f t="shared" si="7"/>
        <v>39.226120072839343</v>
      </c>
      <c r="H49" s="122">
        <f t="shared" si="8"/>
        <v>68.645710127468845</v>
      </c>
      <c r="I49" s="125">
        <f t="shared" si="9"/>
        <v>40.115384615384613</v>
      </c>
      <c r="J49" s="125">
        <f t="shared" si="10"/>
        <v>2.7537490639596154</v>
      </c>
    </row>
    <row r="50" spans="1:10" x14ac:dyDescent="0.2">
      <c r="A50" s="120">
        <f t="shared" si="1"/>
        <v>26</v>
      </c>
      <c r="B50" s="120">
        <f t="shared" si="2"/>
        <v>5</v>
      </c>
      <c r="C50" s="120">
        <f t="shared" si="3"/>
        <v>127.5</v>
      </c>
      <c r="D50" s="124">
        <f t="shared" si="4"/>
        <v>7.5579470198675503E-4</v>
      </c>
      <c r="E50" s="123">
        <f t="shared" si="5"/>
        <v>34.33695841467145</v>
      </c>
      <c r="F50" s="120">
        <f t="shared" si="6"/>
        <v>0</v>
      </c>
      <c r="G50" s="123">
        <f t="shared" si="7"/>
        <v>34.33695841467145</v>
      </c>
      <c r="H50" s="122">
        <f t="shared" si="8"/>
        <v>60.08967722567504</v>
      </c>
      <c r="I50" s="125">
        <f t="shared" si="9"/>
        <v>35.115384615384613</v>
      </c>
      <c r="J50" s="125">
        <f t="shared" si="10"/>
        <v>2.1100721271938965</v>
      </c>
    </row>
    <row r="51" spans="1:10" x14ac:dyDescent="0.2">
      <c r="A51" s="120">
        <f t="shared" si="1"/>
        <v>27</v>
      </c>
      <c r="B51" s="120">
        <f t="shared" si="2"/>
        <v>5</v>
      </c>
      <c r="C51" s="120">
        <f t="shared" si="3"/>
        <v>132.5</v>
      </c>
      <c r="D51" s="124">
        <f t="shared" si="4"/>
        <v>6.4817880794701985E-4</v>
      </c>
      <c r="E51" s="123">
        <f t="shared" si="5"/>
        <v>29.44779675650355</v>
      </c>
      <c r="F51" s="120">
        <f t="shared" si="6"/>
        <v>0</v>
      </c>
      <c r="G51" s="123">
        <f t="shared" si="7"/>
        <v>29.44779675650355</v>
      </c>
      <c r="H51" s="122">
        <f t="shared" si="8"/>
        <v>51.533644323881205</v>
      </c>
      <c r="I51" s="125">
        <f t="shared" si="9"/>
        <v>30.115384615384613</v>
      </c>
      <c r="J51" s="125">
        <f t="shared" si="10"/>
        <v>1.5519555194461148</v>
      </c>
    </row>
    <row r="52" spans="1:10" x14ac:dyDescent="0.2">
      <c r="A52" s="120">
        <f t="shared" si="1"/>
        <v>28</v>
      </c>
      <c r="B52" s="120">
        <f t="shared" si="2"/>
        <v>5</v>
      </c>
      <c r="C52" s="120">
        <f t="shared" si="3"/>
        <v>137.5</v>
      </c>
      <c r="D52" s="124">
        <f t="shared" si="4"/>
        <v>5.4056291390728478E-4</v>
      </c>
      <c r="E52" s="123">
        <f t="shared" si="5"/>
        <v>24.558635098335657</v>
      </c>
      <c r="F52" s="120">
        <f t="shared" si="6"/>
        <v>0</v>
      </c>
      <c r="G52" s="123">
        <f t="shared" si="7"/>
        <v>24.558635098335657</v>
      </c>
      <c r="H52" s="122">
        <f t="shared" si="8"/>
        <v>42.977611422087399</v>
      </c>
      <c r="I52" s="125">
        <f t="shared" si="9"/>
        <v>25.115384615384613</v>
      </c>
      <c r="J52" s="125">
        <f t="shared" si="10"/>
        <v>1.0793992407162718</v>
      </c>
    </row>
    <row r="53" spans="1:10" x14ac:dyDescent="0.2">
      <c r="A53" s="120">
        <f t="shared" si="1"/>
        <v>29</v>
      </c>
      <c r="B53" s="120">
        <f t="shared" si="2"/>
        <v>5</v>
      </c>
      <c r="C53" s="120">
        <f t="shared" si="3"/>
        <v>142.5</v>
      </c>
      <c r="D53" s="124">
        <f t="shared" si="4"/>
        <v>4.3294701986754965E-4</v>
      </c>
      <c r="E53" s="123">
        <f t="shared" si="5"/>
        <v>19.66947344016776</v>
      </c>
      <c r="F53" s="120">
        <f t="shared" si="6"/>
        <v>0</v>
      </c>
      <c r="G53" s="123">
        <f t="shared" si="7"/>
        <v>19.66947344016776</v>
      </c>
      <c r="H53" s="122">
        <f t="shared" si="8"/>
        <v>34.421578520293579</v>
      </c>
      <c r="I53" s="125">
        <f t="shared" si="9"/>
        <v>20.115384615384613</v>
      </c>
      <c r="J53" s="125">
        <f t="shared" si="10"/>
        <v>0.69240329100436693</v>
      </c>
    </row>
    <row r="54" spans="1:10" x14ac:dyDescent="0.2">
      <c r="A54" s="120">
        <f t="shared" si="1"/>
        <v>30</v>
      </c>
      <c r="B54" s="120">
        <f t="shared" si="2"/>
        <v>5</v>
      </c>
      <c r="C54" s="120">
        <f t="shared" si="3"/>
        <v>147.5</v>
      </c>
      <c r="D54" s="124">
        <f t="shared" si="4"/>
        <v>3.2533112582781452E-4</v>
      </c>
      <c r="E54" s="123">
        <f t="shared" si="5"/>
        <v>14.780311781999865</v>
      </c>
      <c r="F54" s="120">
        <f t="shared" si="6"/>
        <v>0</v>
      </c>
      <c r="G54" s="123">
        <f t="shared" si="7"/>
        <v>14.780311781999865</v>
      </c>
      <c r="H54" s="122">
        <f t="shared" si="8"/>
        <v>25.865545618499763</v>
      </c>
      <c r="I54" s="125">
        <f t="shared" si="9"/>
        <v>15.115384615384613</v>
      </c>
      <c r="J54" s="125">
        <f t="shared" si="10"/>
        <v>0.39096767031040019</v>
      </c>
    </row>
    <row r="55" spans="1:10" x14ac:dyDescent="0.2">
      <c r="A55" s="120">
        <f t="shared" si="1"/>
        <v>31</v>
      </c>
      <c r="B55" s="120">
        <f t="shared" si="2"/>
        <v>5</v>
      </c>
      <c r="C55" s="120">
        <f t="shared" si="3"/>
        <v>152.5</v>
      </c>
      <c r="D55" s="124">
        <f t="shared" si="4"/>
        <v>2.1771523178807942E-4</v>
      </c>
      <c r="E55" s="123">
        <f t="shared" si="5"/>
        <v>9.8911501238319701</v>
      </c>
      <c r="F55" s="120">
        <f t="shared" si="6"/>
        <v>0</v>
      </c>
      <c r="G55" s="123">
        <f t="shared" si="7"/>
        <v>9.8911501238319701</v>
      </c>
      <c r="H55" s="122">
        <f t="shared" si="8"/>
        <v>17.309512716705946</v>
      </c>
      <c r="I55" s="125">
        <f t="shared" si="9"/>
        <v>10.115384615384613</v>
      </c>
      <c r="J55" s="125">
        <f t="shared" si="10"/>
        <v>0.17509237863437163</v>
      </c>
    </row>
    <row r="56" spans="1:10" x14ac:dyDescent="0.2">
      <c r="A56" s="120">
        <f t="shared" si="1"/>
        <v>32</v>
      </c>
      <c r="B56" s="120">
        <f t="shared" si="2"/>
        <v>5</v>
      </c>
      <c r="C56" s="120">
        <f t="shared" si="3"/>
        <v>157.5</v>
      </c>
      <c r="D56" s="124">
        <f t="shared" si="4"/>
        <v>1.1009933774834432E-4</v>
      </c>
      <c r="E56" s="123">
        <f t="shared" si="5"/>
        <v>5.0019884656640752</v>
      </c>
      <c r="F56" s="120">
        <f t="shared" si="6"/>
        <v>0</v>
      </c>
      <c r="G56" s="123">
        <f t="shared" si="7"/>
        <v>5.0019884656640752</v>
      </c>
      <c r="H56" s="122">
        <f t="shared" si="8"/>
        <v>8.7534798149121329</v>
      </c>
      <c r="I56" s="125">
        <f t="shared" si="9"/>
        <v>5.1153846153846132</v>
      </c>
      <c r="J56" s="125">
        <f t="shared" si="10"/>
        <v>4.4777415976281279E-2</v>
      </c>
    </row>
    <row r="57" spans="1:10" x14ac:dyDescent="0.2">
      <c r="A57" s="120">
        <f t="shared" si="1"/>
        <v>33</v>
      </c>
      <c r="B57" s="120">
        <f t="shared" si="2"/>
        <v>5</v>
      </c>
      <c r="C57" s="120">
        <f t="shared" si="3"/>
        <v>162.5</v>
      </c>
      <c r="D57" s="124">
        <f t="shared" si="4"/>
        <v>2.4834437086092246E-6</v>
      </c>
      <c r="E57" s="123">
        <f t="shared" si="5"/>
        <v>0.11282680749618006</v>
      </c>
      <c r="F57" s="120">
        <f t="shared" si="6"/>
        <v>0</v>
      </c>
      <c r="G57" s="123">
        <f t="shared" si="7"/>
        <v>0.11282680749618006</v>
      </c>
      <c r="H57" s="122">
        <f t="shared" si="8"/>
        <v>0.19744691311831508</v>
      </c>
      <c r="I57" s="125">
        <f t="shared" si="9"/>
        <v>0.1153846153846132</v>
      </c>
      <c r="J57" s="125">
        <f t="shared" si="10"/>
        <v>2.2782336129035924E-5</v>
      </c>
    </row>
    <row r="58" spans="1:10" x14ac:dyDescent="0.2">
      <c r="A58" s="120">
        <f t="shared" si="1"/>
        <v>34</v>
      </c>
      <c r="B58" s="120">
        <f t="shared" si="2"/>
        <v>5</v>
      </c>
      <c r="C58" s="120">
        <f t="shared" si="3"/>
        <v>167.5</v>
      </c>
      <c r="D58" s="124">
        <f t="shared" si="4"/>
        <v>-1.0513245033112589E-4</v>
      </c>
      <c r="E58" s="120">
        <f t="shared" si="5"/>
        <v>0</v>
      </c>
      <c r="F58" s="133">
        <f t="shared" si="6"/>
        <v>-4.7763348506717156</v>
      </c>
      <c r="G58" s="133">
        <f t="shared" si="7"/>
        <v>-4.7763348506717156</v>
      </c>
      <c r="H58" s="122">
        <f t="shared" si="8"/>
        <v>-8.3585859886755021</v>
      </c>
      <c r="I58" s="125">
        <f t="shared" si="9"/>
        <v>-4.8846153846153868</v>
      </c>
      <c r="J58" s="125">
        <f t="shared" si="10"/>
        <v>4.0828477713914971E-2</v>
      </c>
    </row>
    <row r="59" spans="1:10" x14ac:dyDescent="0.2">
      <c r="A59" s="120">
        <f t="shared" si="1"/>
        <v>35</v>
      </c>
      <c r="B59" s="120">
        <f t="shared" si="2"/>
        <v>5</v>
      </c>
      <c r="C59" s="120">
        <f t="shared" si="3"/>
        <v>172.5</v>
      </c>
      <c r="D59" s="124">
        <f t="shared" si="4"/>
        <v>-2.1274834437086097E-4</v>
      </c>
      <c r="E59" s="120">
        <f t="shared" si="5"/>
        <v>0</v>
      </c>
      <c r="F59" s="120">
        <f t="shared" si="6"/>
        <v>-8.5</v>
      </c>
      <c r="G59" s="120">
        <f t="shared" si="7"/>
        <v>-8.5</v>
      </c>
      <c r="H59" s="120">
        <f t="shared" si="8"/>
        <v>-14.875</v>
      </c>
      <c r="I59" s="125">
        <f t="shared" si="9"/>
        <v>-9.8846153846153868</v>
      </c>
      <c r="J59" s="125">
        <f t="shared" si="10"/>
        <v>0.14703365384615386</v>
      </c>
    </row>
    <row r="60" spans="1:10" x14ac:dyDescent="0.2">
      <c r="A60" s="120">
        <f t="shared" si="1"/>
        <v>36</v>
      </c>
      <c r="B60" s="120">
        <f t="shared" si="2"/>
        <v>5</v>
      </c>
      <c r="C60" s="120">
        <f t="shared" si="3"/>
        <v>177.5</v>
      </c>
      <c r="D60" s="124">
        <f t="shared" si="4"/>
        <v>-3.2036423841059607E-4</v>
      </c>
      <c r="E60" s="120">
        <f t="shared" si="5"/>
        <v>0</v>
      </c>
      <c r="F60" s="120">
        <f t="shared" si="6"/>
        <v>-8.5</v>
      </c>
      <c r="G60" s="120">
        <f t="shared" si="7"/>
        <v>-8.5</v>
      </c>
      <c r="H60" s="120">
        <f t="shared" si="8"/>
        <v>-14.875</v>
      </c>
      <c r="I60" s="125">
        <f t="shared" si="9"/>
        <v>-14.884615384615387</v>
      </c>
      <c r="J60" s="125">
        <f t="shared" si="10"/>
        <v>0.22140865384615388</v>
      </c>
    </row>
    <row r="61" spans="1:10" x14ac:dyDescent="0.2">
      <c r="A61" s="120">
        <f t="shared" si="1"/>
        <v>37</v>
      </c>
      <c r="B61" s="120">
        <f t="shared" si="2"/>
        <v>5</v>
      </c>
      <c r="C61" s="120">
        <f t="shared" si="3"/>
        <v>182.5</v>
      </c>
      <c r="D61" s="124">
        <f t="shared" si="4"/>
        <v>-4.2798013245033114E-4</v>
      </c>
      <c r="E61" s="120">
        <f t="shared" si="5"/>
        <v>0</v>
      </c>
      <c r="F61" s="120">
        <f t="shared" si="6"/>
        <v>-8.5</v>
      </c>
      <c r="G61" s="120">
        <f t="shared" si="7"/>
        <v>-8.5</v>
      </c>
      <c r="H61" s="120">
        <f t="shared" si="8"/>
        <v>-14.875</v>
      </c>
      <c r="I61" s="125">
        <f t="shared" si="9"/>
        <v>-19.884615384615387</v>
      </c>
      <c r="J61" s="125">
        <f t="shared" si="10"/>
        <v>0.29578365384615385</v>
      </c>
    </row>
    <row r="62" spans="1:10" x14ac:dyDescent="0.2">
      <c r="A62" s="120">
        <f t="shared" si="1"/>
        <v>38</v>
      </c>
      <c r="B62" s="120">
        <f t="shared" si="2"/>
        <v>5</v>
      </c>
      <c r="C62" s="120">
        <f t="shared" si="3"/>
        <v>187.5</v>
      </c>
      <c r="D62" s="124">
        <f t="shared" si="4"/>
        <v>-5.3559602649006627E-4</v>
      </c>
      <c r="E62" s="120">
        <f t="shared" si="5"/>
        <v>0</v>
      </c>
      <c r="F62" s="120">
        <f t="shared" si="6"/>
        <v>-8.5</v>
      </c>
      <c r="G62" s="120">
        <f t="shared" si="7"/>
        <v>-8.5</v>
      </c>
      <c r="H62" s="120">
        <f t="shared" si="8"/>
        <v>-14.875</v>
      </c>
      <c r="I62" s="125">
        <f t="shared" si="9"/>
        <v>-24.884615384615387</v>
      </c>
      <c r="J62" s="125">
        <f t="shared" si="10"/>
        <v>0.37015865384615387</v>
      </c>
    </row>
    <row r="63" spans="1:10" x14ac:dyDescent="0.2">
      <c r="A63" s="120">
        <f t="shared" si="1"/>
        <v>39</v>
      </c>
      <c r="B63" s="120">
        <f t="shared" si="2"/>
        <v>5</v>
      </c>
      <c r="C63" s="120">
        <f t="shared" si="3"/>
        <v>192.5</v>
      </c>
      <c r="D63" s="124">
        <f t="shared" si="4"/>
        <v>-6.4321192052980134E-4</v>
      </c>
      <c r="E63" s="120">
        <f t="shared" si="5"/>
        <v>0</v>
      </c>
      <c r="F63" s="120">
        <f t="shared" si="6"/>
        <v>-8.5</v>
      </c>
      <c r="G63" s="120">
        <f t="shared" si="7"/>
        <v>-8.5</v>
      </c>
      <c r="H63" s="120">
        <f t="shared" si="8"/>
        <v>-14.875</v>
      </c>
      <c r="I63" s="125">
        <f t="shared" si="9"/>
        <v>-29.884615384615387</v>
      </c>
      <c r="J63" s="125">
        <f t="shared" si="10"/>
        <v>0.44453365384615384</v>
      </c>
    </row>
    <row r="64" spans="1:10" x14ac:dyDescent="0.2">
      <c r="A64" s="120">
        <f t="shared" si="1"/>
        <v>40</v>
      </c>
      <c r="B64" s="120">
        <f t="shared" si="2"/>
        <v>5</v>
      </c>
      <c r="C64" s="120">
        <f t="shared" si="3"/>
        <v>197.5</v>
      </c>
      <c r="D64" s="124">
        <f t="shared" si="4"/>
        <v>-7.5082781456953652E-4</v>
      </c>
      <c r="E64" s="120">
        <f t="shared" si="5"/>
        <v>0</v>
      </c>
      <c r="F64" s="120">
        <f t="shared" si="6"/>
        <v>-8.5</v>
      </c>
      <c r="G64" s="120">
        <f t="shared" si="7"/>
        <v>-8.5</v>
      </c>
      <c r="H64" s="120">
        <f t="shared" si="8"/>
        <v>-14.875</v>
      </c>
      <c r="I64" s="125">
        <f t="shared" si="9"/>
        <v>-34.884615384615387</v>
      </c>
      <c r="J64" s="125">
        <f t="shared" si="10"/>
        <v>0.51890865384615392</v>
      </c>
    </row>
    <row r="65" spans="1:10" x14ac:dyDescent="0.2">
      <c r="A65" s="120">
        <f t="shared" si="1"/>
        <v>41</v>
      </c>
      <c r="B65" s="120">
        <f t="shared" si="2"/>
        <v>5</v>
      </c>
      <c r="C65" s="120">
        <f t="shared" si="3"/>
        <v>202.5</v>
      </c>
      <c r="D65" s="124">
        <f t="shared" si="4"/>
        <v>-8.584437086092717E-4</v>
      </c>
      <c r="E65" s="120">
        <f t="shared" si="5"/>
        <v>0</v>
      </c>
      <c r="F65" s="120">
        <f t="shared" si="6"/>
        <v>-8.5</v>
      </c>
      <c r="G65" s="120">
        <f t="shared" si="7"/>
        <v>-8.5</v>
      </c>
      <c r="H65" s="120">
        <f t="shared" si="8"/>
        <v>-14.875</v>
      </c>
      <c r="I65" s="125">
        <f t="shared" si="9"/>
        <v>-39.884615384615387</v>
      </c>
      <c r="J65" s="125">
        <f t="shared" si="10"/>
        <v>0.59328365384615389</v>
      </c>
    </row>
    <row r="66" spans="1:10" x14ac:dyDescent="0.2">
      <c r="A66" s="120">
        <f t="shared" si="1"/>
        <v>42</v>
      </c>
      <c r="B66" s="120">
        <f t="shared" si="2"/>
        <v>5</v>
      </c>
      <c r="C66" s="120">
        <f t="shared" si="3"/>
        <v>207.5</v>
      </c>
      <c r="D66" s="124">
        <f t="shared" si="4"/>
        <v>-9.6605960264900667E-4</v>
      </c>
      <c r="E66" s="120">
        <f t="shared" si="5"/>
        <v>0</v>
      </c>
      <c r="F66" s="120">
        <f t="shared" si="6"/>
        <v>-8.5</v>
      </c>
      <c r="G66" s="120">
        <f t="shared" si="7"/>
        <v>-8.5</v>
      </c>
      <c r="H66" s="120">
        <f t="shared" si="8"/>
        <v>-14.875</v>
      </c>
      <c r="I66" s="125">
        <f t="shared" si="9"/>
        <v>-44.884615384615387</v>
      </c>
      <c r="J66" s="125">
        <f t="shared" si="10"/>
        <v>0.66765865384615397</v>
      </c>
    </row>
    <row r="67" spans="1:10" x14ac:dyDescent="0.2">
      <c r="A67" s="120">
        <f t="shared" si="1"/>
        <v>43</v>
      </c>
      <c r="B67" s="120">
        <f t="shared" si="2"/>
        <v>5</v>
      </c>
      <c r="C67" s="120">
        <f t="shared" si="3"/>
        <v>212.5</v>
      </c>
      <c r="D67" s="124">
        <f t="shared" si="4"/>
        <v>-1.0736754966887416E-3</v>
      </c>
      <c r="E67" s="120">
        <f t="shared" si="5"/>
        <v>0</v>
      </c>
      <c r="F67" s="120">
        <f t="shared" si="6"/>
        <v>-8.5</v>
      </c>
      <c r="G67" s="120">
        <f t="shared" si="7"/>
        <v>-8.5</v>
      </c>
      <c r="H67" s="120">
        <f t="shared" si="8"/>
        <v>-14.875</v>
      </c>
      <c r="I67" s="125">
        <f t="shared" si="9"/>
        <v>-49.884615384615387</v>
      </c>
      <c r="J67" s="125">
        <f t="shared" si="10"/>
        <v>0.74203365384615394</v>
      </c>
    </row>
    <row r="68" spans="1:10" x14ac:dyDescent="0.2">
      <c r="A68" s="120">
        <f t="shared" si="1"/>
        <v>44</v>
      </c>
      <c r="B68" s="120">
        <f t="shared" si="2"/>
        <v>5</v>
      </c>
      <c r="C68" s="120">
        <f t="shared" si="3"/>
        <v>217.5</v>
      </c>
      <c r="D68" s="124">
        <f t="shared" si="4"/>
        <v>-1.181291390728477E-3</v>
      </c>
      <c r="E68" s="120">
        <f t="shared" si="5"/>
        <v>0</v>
      </c>
      <c r="F68" s="120">
        <f t="shared" si="6"/>
        <v>-8.5</v>
      </c>
      <c r="G68" s="120">
        <f t="shared" si="7"/>
        <v>-8.5</v>
      </c>
      <c r="H68" s="120">
        <f t="shared" si="8"/>
        <v>-14.875</v>
      </c>
      <c r="I68" s="125">
        <f t="shared" si="9"/>
        <v>-54.884615384615387</v>
      </c>
      <c r="J68" s="125">
        <f t="shared" si="10"/>
        <v>0.81640865384615391</v>
      </c>
    </row>
    <row r="69" spans="1:10" x14ac:dyDescent="0.2">
      <c r="A69" s="120">
        <f t="shared" si="1"/>
        <v>45</v>
      </c>
      <c r="B69" s="120">
        <f t="shared" si="2"/>
        <v>5</v>
      </c>
      <c r="C69" s="120">
        <f t="shared" si="3"/>
        <v>222.5</v>
      </c>
      <c r="D69" s="124">
        <f t="shared" si="4"/>
        <v>-1.288907284768212E-3</v>
      </c>
      <c r="E69" s="120">
        <f t="shared" si="5"/>
        <v>0</v>
      </c>
      <c r="F69" s="120">
        <f t="shared" si="6"/>
        <v>-8.5</v>
      </c>
      <c r="G69" s="120">
        <f t="shared" si="7"/>
        <v>-8.5</v>
      </c>
      <c r="H69" s="120">
        <f t="shared" si="8"/>
        <v>-14.875</v>
      </c>
      <c r="I69" s="125">
        <f t="shared" si="9"/>
        <v>-59.884615384615387</v>
      </c>
      <c r="J69" s="125">
        <f t="shared" si="10"/>
        <v>0.89078365384615388</v>
      </c>
    </row>
    <row r="70" spans="1:10" x14ac:dyDescent="0.2">
      <c r="A70" s="120">
        <f t="shared" si="1"/>
        <v>46</v>
      </c>
      <c r="B70" s="120">
        <f t="shared" si="2"/>
        <v>5</v>
      </c>
      <c r="C70" s="120">
        <f t="shared" si="3"/>
        <v>227.5</v>
      </c>
      <c r="D70" s="124">
        <f t="shared" si="4"/>
        <v>-1.3965231788079472E-3</v>
      </c>
      <c r="E70" s="120">
        <f t="shared" si="5"/>
        <v>0</v>
      </c>
      <c r="F70" s="120">
        <f t="shared" si="6"/>
        <v>-8.5</v>
      </c>
      <c r="G70" s="120">
        <f t="shared" si="7"/>
        <v>-8.5</v>
      </c>
      <c r="H70" s="120">
        <f t="shared" si="8"/>
        <v>-14.875</v>
      </c>
      <c r="I70" s="125">
        <f t="shared" si="9"/>
        <v>-64.884615384615387</v>
      </c>
      <c r="J70" s="125">
        <f t="shared" si="10"/>
        <v>0.96515865384615396</v>
      </c>
    </row>
    <row r="71" spans="1:10" x14ac:dyDescent="0.2">
      <c r="A71" s="120">
        <f t="shared" si="1"/>
        <v>47</v>
      </c>
      <c r="B71" s="120">
        <f t="shared" si="2"/>
        <v>5</v>
      </c>
      <c r="C71" s="120">
        <f t="shared" si="3"/>
        <v>232.5</v>
      </c>
      <c r="D71" s="124">
        <f t="shared" si="4"/>
        <v>-1.5041390728476821E-3</v>
      </c>
      <c r="E71" s="120">
        <f t="shared" si="5"/>
        <v>0</v>
      </c>
      <c r="F71" s="120">
        <f t="shared" si="6"/>
        <v>-8.5</v>
      </c>
      <c r="G71" s="120">
        <f t="shared" si="7"/>
        <v>-8.5</v>
      </c>
      <c r="H71" s="120">
        <f t="shared" si="8"/>
        <v>-14.875</v>
      </c>
      <c r="I71" s="125">
        <f t="shared" si="9"/>
        <v>-69.884615384615387</v>
      </c>
      <c r="J71" s="125">
        <f t="shared" si="10"/>
        <v>1.0395336538461537</v>
      </c>
    </row>
    <row r="72" spans="1:10" x14ac:dyDescent="0.2">
      <c r="A72" s="120">
        <f t="shared" si="1"/>
        <v>48</v>
      </c>
      <c r="B72" s="120">
        <f t="shared" si="2"/>
        <v>5</v>
      </c>
      <c r="C72" s="120">
        <f t="shared" si="3"/>
        <v>237.5</v>
      </c>
      <c r="D72" s="124">
        <f t="shared" si="4"/>
        <v>-1.6117549668874173E-3</v>
      </c>
      <c r="E72" s="120">
        <f t="shared" si="5"/>
        <v>0</v>
      </c>
      <c r="F72" s="120">
        <f t="shared" si="6"/>
        <v>-8.5</v>
      </c>
      <c r="G72" s="120">
        <f t="shared" si="7"/>
        <v>-8.5</v>
      </c>
      <c r="H72" s="120">
        <f t="shared" si="8"/>
        <v>-14.875</v>
      </c>
      <c r="I72" s="125">
        <f t="shared" si="9"/>
        <v>-74.884615384615387</v>
      </c>
      <c r="J72" s="125">
        <f t="shared" si="10"/>
        <v>1.1139086538461538</v>
      </c>
    </row>
    <row r="73" spans="1:10" x14ac:dyDescent="0.2">
      <c r="A73" s="120">
        <f t="shared" si="1"/>
        <v>49</v>
      </c>
      <c r="B73" s="120">
        <f t="shared" si="2"/>
        <v>5</v>
      </c>
      <c r="C73" s="120">
        <f t="shared" si="3"/>
        <v>242.5</v>
      </c>
      <c r="D73" s="124">
        <f t="shared" si="4"/>
        <v>-1.7193708609271525E-3</v>
      </c>
      <c r="E73" s="120">
        <f t="shared" si="5"/>
        <v>0</v>
      </c>
      <c r="F73" s="120">
        <f t="shared" si="6"/>
        <v>-8.5</v>
      </c>
      <c r="G73" s="120">
        <f t="shared" si="7"/>
        <v>-8.5</v>
      </c>
      <c r="H73" s="120">
        <f t="shared" si="8"/>
        <v>-14.875</v>
      </c>
      <c r="I73" s="125">
        <f t="shared" si="9"/>
        <v>-79.884615384615387</v>
      </c>
      <c r="J73" s="125">
        <f t="shared" si="10"/>
        <v>1.1882836538461539</v>
      </c>
    </row>
    <row r="74" spans="1:10" x14ac:dyDescent="0.2">
      <c r="A74" s="120">
        <f t="shared" si="1"/>
        <v>50</v>
      </c>
      <c r="B74" s="120">
        <f t="shared" si="2"/>
        <v>5</v>
      </c>
      <c r="C74" s="120">
        <f t="shared" si="3"/>
        <v>247.5</v>
      </c>
      <c r="D74" s="124">
        <f t="shared" si="4"/>
        <v>-1.8269867549668875E-3</v>
      </c>
      <c r="E74" s="120">
        <f t="shared" si="5"/>
        <v>0</v>
      </c>
      <c r="F74" s="120">
        <f t="shared" si="6"/>
        <v>-8.5</v>
      </c>
      <c r="G74" s="120">
        <f t="shared" si="7"/>
        <v>-8.5</v>
      </c>
      <c r="H74" s="120">
        <f t="shared" si="8"/>
        <v>-14.875</v>
      </c>
      <c r="I74" s="125">
        <f t="shared" si="9"/>
        <v>-84.884615384615387</v>
      </c>
      <c r="J74" s="125">
        <f t="shared" si="10"/>
        <v>1.2626586538461537</v>
      </c>
    </row>
    <row r="75" spans="1:10" x14ac:dyDescent="0.2">
      <c r="A75" s="120">
        <f t="shared" si="1"/>
        <v>51</v>
      </c>
      <c r="B75" s="120">
        <f t="shared" si="2"/>
        <v>5</v>
      </c>
      <c r="C75" s="120">
        <f t="shared" si="3"/>
        <v>252.5</v>
      </c>
      <c r="D75" s="124">
        <f t="shared" si="4"/>
        <v>-1.9346026490066226E-3</v>
      </c>
      <c r="E75" s="120">
        <f t="shared" si="5"/>
        <v>0</v>
      </c>
      <c r="F75" s="120">
        <f t="shared" si="6"/>
        <v>-8.5</v>
      </c>
      <c r="G75" s="120">
        <f t="shared" si="7"/>
        <v>-8.5</v>
      </c>
      <c r="H75" s="120">
        <f t="shared" si="8"/>
        <v>-14.875</v>
      </c>
      <c r="I75" s="125">
        <f t="shared" si="9"/>
        <v>-89.884615384615387</v>
      </c>
      <c r="J75" s="125">
        <f t="shared" si="10"/>
        <v>1.3370336538461538</v>
      </c>
    </row>
    <row r="76" spans="1:10" x14ac:dyDescent="0.2">
      <c r="A76" s="120">
        <f t="shared" si="1"/>
        <v>52</v>
      </c>
      <c r="B76" s="120">
        <f t="shared" si="2"/>
        <v>5</v>
      </c>
      <c r="C76" s="120">
        <f t="shared" si="3"/>
        <v>257.5</v>
      </c>
      <c r="D76" s="124">
        <f t="shared" si="4"/>
        <v>-2.0422185430463576E-3</v>
      </c>
      <c r="E76" s="120">
        <f t="shared" si="5"/>
        <v>0</v>
      </c>
      <c r="F76" s="120">
        <f t="shared" si="6"/>
        <v>-8.5</v>
      </c>
      <c r="G76" s="120">
        <f t="shared" si="7"/>
        <v>-8.5</v>
      </c>
      <c r="H76" s="120">
        <f t="shared" si="8"/>
        <v>-14.875</v>
      </c>
      <c r="I76" s="125">
        <f t="shared" si="9"/>
        <v>-94.884615384615387</v>
      </c>
      <c r="J76" s="125">
        <f t="shared" si="10"/>
        <v>1.4114086538461539</v>
      </c>
    </row>
    <row r="77" spans="1:10" x14ac:dyDescent="0.2">
      <c r="A77" s="120">
        <f t="shared" si="1"/>
        <v>53</v>
      </c>
      <c r="B77" s="120">
        <f t="shared" si="2"/>
        <v>5</v>
      </c>
      <c r="C77" s="120">
        <f t="shared" si="3"/>
        <v>262.5</v>
      </c>
      <c r="D77" s="124">
        <f t="shared" si="4"/>
        <v>-2.1498344370860928E-3</v>
      </c>
      <c r="E77" s="120">
        <f t="shared" si="5"/>
        <v>0</v>
      </c>
      <c r="F77" s="120">
        <f t="shared" si="6"/>
        <v>-8.5</v>
      </c>
      <c r="G77" s="120">
        <f t="shared" si="7"/>
        <v>-8.5</v>
      </c>
      <c r="H77" s="120">
        <f t="shared" si="8"/>
        <v>-14.875</v>
      </c>
      <c r="I77" s="125">
        <f t="shared" si="9"/>
        <v>-99.884615384615387</v>
      </c>
      <c r="J77" s="125">
        <f t="shared" si="10"/>
        <v>1.4857836538461537</v>
      </c>
    </row>
    <row r="78" spans="1:10" x14ac:dyDescent="0.2">
      <c r="A78" s="120">
        <f t="shared" si="1"/>
        <v>54</v>
      </c>
      <c r="B78" s="120">
        <f t="shared" si="2"/>
        <v>5</v>
      </c>
      <c r="C78" s="120">
        <f t="shared" si="3"/>
        <v>267.5</v>
      </c>
      <c r="D78" s="124">
        <f t="shared" si="4"/>
        <v>-2.257450331125828E-3</v>
      </c>
      <c r="E78" s="120">
        <f t="shared" si="5"/>
        <v>0</v>
      </c>
      <c r="F78" s="120">
        <f t="shared" si="6"/>
        <v>-8.5</v>
      </c>
      <c r="G78" s="120">
        <f t="shared" si="7"/>
        <v>-8.5</v>
      </c>
      <c r="H78" s="120">
        <f t="shared" si="8"/>
        <v>-14.875</v>
      </c>
      <c r="I78" s="125">
        <f t="shared" si="9"/>
        <v>-104.88461538461539</v>
      </c>
      <c r="J78" s="125">
        <f t="shared" si="10"/>
        <v>1.5601586538461538</v>
      </c>
    </row>
    <row r="79" spans="1:10" x14ac:dyDescent="0.2">
      <c r="A79" s="120">
        <f t="shared" si="1"/>
        <v>55</v>
      </c>
      <c r="B79" s="120">
        <f t="shared" si="2"/>
        <v>5</v>
      </c>
      <c r="C79" s="120">
        <f t="shared" si="3"/>
        <v>272.5</v>
      </c>
      <c r="D79" s="124">
        <f t="shared" si="4"/>
        <v>-2.3650662251655631E-3</v>
      </c>
      <c r="E79" s="120">
        <f t="shared" si="5"/>
        <v>0</v>
      </c>
      <c r="F79" s="120">
        <f t="shared" si="6"/>
        <v>-8.5</v>
      </c>
      <c r="G79" s="120">
        <f t="shared" si="7"/>
        <v>-8.5</v>
      </c>
      <c r="H79" s="120">
        <f t="shared" si="8"/>
        <v>-14.875</v>
      </c>
      <c r="I79" s="125">
        <f t="shared" si="9"/>
        <v>-109.88461538461539</v>
      </c>
      <c r="J79" s="125">
        <f t="shared" si="10"/>
        <v>1.6345336538461539</v>
      </c>
    </row>
    <row r="80" spans="1:10" x14ac:dyDescent="0.2">
      <c r="A80" s="120">
        <f t="shared" si="1"/>
        <v>56</v>
      </c>
      <c r="B80" s="120">
        <f t="shared" si="2"/>
        <v>5</v>
      </c>
      <c r="C80" s="120">
        <f t="shared" si="3"/>
        <v>277.5</v>
      </c>
      <c r="D80" s="124">
        <f t="shared" si="4"/>
        <v>-2.4726821192052983E-3</v>
      </c>
      <c r="E80" s="120">
        <f t="shared" si="5"/>
        <v>0</v>
      </c>
      <c r="F80" s="120">
        <f t="shared" si="6"/>
        <v>-8.5</v>
      </c>
      <c r="G80" s="120">
        <f t="shared" si="7"/>
        <v>-8.5</v>
      </c>
      <c r="H80" s="120">
        <f t="shared" si="8"/>
        <v>-14.875</v>
      </c>
      <c r="I80" s="125">
        <f t="shared" si="9"/>
        <v>-114.88461538461539</v>
      </c>
      <c r="J80" s="125">
        <f t="shared" si="10"/>
        <v>1.7089086538461538</v>
      </c>
    </row>
    <row r="81" spans="1:10" x14ac:dyDescent="0.2">
      <c r="A81" s="120">
        <f t="shared" si="1"/>
        <v>57</v>
      </c>
      <c r="B81" s="120">
        <f t="shared" si="2"/>
        <v>5</v>
      </c>
      <c r="C81" s="120">
        <f t="shared" si="3"/>
        <v>282.5</v>
      </c>
      <c r="D81" s="124">
        <f t="shared" si="4"/>
        <v>-2.5802980132450331E-3</v>
      </c>
      <c r="E81" s="120">
        <f t="shared" si="5"/>
        <v>0</v>
      </c>
      <c r="F81" s="120">
        <f t="shared" si="6"/>
        <v>-8.5</v>
      </c>
      <c r="G81" s="120">
        <f t="shared" si="7"/>
        <v>-8.5</v>
      </c>
      <c r="H81" s="120">
        <f t="shared" si="8"/>
        <v>-14.875</v>
      </c>
      <c r="I81" s="125">
        <f t="shared" si="9"/>
        <v>-119.88461538461539</v>
      </c>
      <c r="J81" s="125">
        <f t="shared" si="10"/>
        <v>1.7832836538461538</v>
      </c>
    </row>
    <row r="82" spans="1:10" x14ac:dyDescent="0.2">
      <c r="A82" s="120">
        <f t="shared" si="1"/>
        <v>58</v>
      </c>
      <c r="B82" s="120">
        <f t="shared" si="2"/>
        <v>5</v>
      </c>
      <c r="C82" s="120">
        <f t="shared" si="3"/>
        <v>287.5</v>
      </c>
      <c r="D82" s="124">
        <f t="shared" si="4"/>
        <v>-2.6879139072847683E-3</v>
      </c>
      <c r="E82" s="120">
        <f t="shared" si="5"/>
        <v>0</v>
      </c>
      <c r="F82" s="120">
        <f t="shared" si="6"/>
        <v>-8.5</v>
      </c>
      <c r="G82" s="120">
        <f t="shared" si="7"/>
        <v>-8.5</v>
      </c>
      <c r="H82" s="120">
        <f t="shared" si="8"/>
        <v>-14.875</v>
      </c>
      <c r="I82" s="125">
        <f t="shared" si="9"/>
        <v>-124.88461538461539</v>
      </c>
      <c r="J82" s="125">
        <f t="shared" si="10"/>
        <v>1.8576586538461539</v>
      </c>
    </row>
    <row r="83" spans="1:10" x14ac:dyDescent="0.2">
      <c r="A83" s="120">
        <f t="shared" si="1"/>
        <v>59</v>
      </c>
      <c r="B83" s="120">
        <f t="shared" si="2"/>
        <v>5</v>
      </c>
      <c r="C83" s="120">
        <f t="shared" si="3"/>
        <v>292.5</v>
      </c>
      <c r="D83" s="124">
        <f t="shared" si="4"/>
        <v>-2.7955298013245034E-3</v>
      </c>
      <c r="E83" s="120">
        <f t="shared" si="5"/>
        <v>0</v>
      </c>
      <c r="F83" s="120">
        <f t="shared" si="6"/>
        <v>-8.5</v>
      </c>
      <c r="G83" s="120">
        <f t="shared" si="7"/>
        <v>-8.5</v>
      </c>
      <c r="H83" s="120">
        <f t="shared" si="8"/>
        <v>-14.875</v>
      </c>
      <c r="I83" s="125">
        <f t="shared" si="9"/>
        <v>-129.88461538461539</v>
      </c>
      <c r="J83" s="125">
        <f t="shared" si="10"/>
        <v>1.9320336538461538</v>
      </c>
    </row>
    <row r="84" spans="1:10" x14ac:dyDescent="0.2">
      <c r="A84" s="120">
        <f t="shared" si="1"/>
        <v>60</v>
      </c>
      <c r="B84" s="120">
        <f t="shared" si="2"/>
        <v>5</v>
      </c>
      <c r="C84" s="120">
        <f t="shared" si="3"/>
        <v>297.5</v>
      </c>
      <c r="D84" s="124">
        <f t="shared" si="4"/>
        <v>-2.9031456953642386E-3</v>
      </c>
      <c r="E84" s="120">
        <f t="shared" si="5"/>
        <v>0</v>
      </c>
      <c r="F84" s="120">
        <f t="shared" si="6"/>
        <v>-8.5</v>
      </c>
      <c r="G84" s="120">
        <f t="shared" si="7"/>
        <v>-8.5</v>
      </c>
      <c r="H84" s="120">
        <f t="shared" si="8"/>
        <v>-14.875</v>
      </c>
      <c r="I84" s="125">
        <f t="shared" si="9"/>
        <v>-134.88461538461539</v>
      </c>
      <c r="J84" s="125">
        <f t="shared" si="10"/>
        <v>2.0064086538461536</v>
      </c>
    </row>
    <row r="85" spans="1:10" x14ac:dyDescent="0.2">
      <c r="A85" s="120">
        <f t="shared" si="1"/>
        <v>61</v>
      </c>
      <c r="B85" s="120">
        <f t="shared" si="2"/>
        <v>5</v>
      </c>
      <c r="C85" s="120">
        <f t="shared" si="3"/>
        <v>302.5</v>
      </c>
      <c r="D85" s="124">
        <f t="shared" si="4"/>
        <v>-3.0107615894039734E-3</v>
      </c>
      <c r="E85" s="120">
        <f t="shared" si="5"/>
        <v>0</v>
      </c>
      <c r="F85" s="120">
        <f t="shared" si="6"/>
        <v>-8.5</v>
      </c>
      <c r="G85" s="120">
        <f t="shared" si="7"/>
        <v>-8.5</v>
      </c>
      <c r="H85" s="120">
        <f t="shared" si="8"/>
        <v>-14.875</v>
      </c>
      <c r="I85" s="125">
        <f t="shared" si="9"/>
        <v>-139.88461538461539</v>
      </c>
      <c r="J85" s="125">
        <f t="shared" si="10"/>
        <v>2.0807836538461539</v>
      </c>
    </row>
    <row r="86" spans="1:10" x14ac:dyDescent="0.2">
      <c r="A86" s="120">
        <f t="shared" si="1"/>
        <v>62</v>
      </c>
      <c r="B86" s="120">
        <f t="shared" si="2"/>
        <v>5</v>
      </c>
      <c r="C86" s="120">
        <f t="shared" si="3"/>
        <v>307.5</v>
      </c>
      <c r="D86" s="124">
        <f t="shared" si="4"/>
        <v>-3.118377483443709E-3</v>
      </c>
      <c r="E86" s="120">
        <f t="shared" si="5"/>
        <v>0</v>
      </c>
      <c r="F86" s="120">
        <f t="shared" si="6"/>
        <v>-8.5</v>
      </c>
      <c r="G86" s="120">
        <f t="shared" si="7"/>
        <v>-8.5</v>
      </c>
      <c r="H86" s="120">
        <f t="shared" si="8"/>
        <v>-14.875</v>
      </c>
      <c r="I86" s="125">
        <f t="shared" si="9"/>
        <v>-144.88461538461539</v>
      </c>
      <c r="J86" s="125">
        <f t="shared" si="10"/>
        <v>2.1551586538461538</v>
      </c>
    </row>
    <row r="87" spans="1:10" x14ac:dyDescent="0.2">
      <c r="A87" s="120">
        <f t="shared" si="1"/>
        <v>63</v>
      </c>
      <c r="B87" s="120">
        <f t="shared" si="2"/>
        <v>5</v>
      </c>
      <c r="C87" s="120">
        <f t="shared" si="3"/>
        <v>312.5</v>
      </c>
      <c r="D87" s="124">
        <f t="shared" si="4"/>
        <v>-3.2259933774834442E-3</v>
      </c>
      <c r="E87" s="120">
        <f t="shared" si="5"/>
        <v>0</v>
      </c>
      <c r="F87" s="120">
        <f t="shared" si="6"/>
        <v>-8.5</v>
      </c>
      <c r="G87" s="120">
        <f t="shared" si="7"/>
        <v>-8.5</v>
      </c>
      <c r="H87" s="120">
        <f t="shared" si="8"/>
        <v>-14.875</v>
      </c>
      <c r="I87" s="125">
        <f t="shared" si="9"/>
        <v>-149.88461538461539</v>
      </c>
      <c r="J87" s="125">
        <f t="shared" si="10"/>
        <v>2.2295336538461537</v>
      </c>
    </row>
    <row r="88" spans="1:10" x14ac:dyDescent="0.2">
      <c r="A88" s="120">
        <f t="shared" si="1"/>
        <v>64</v>
      </c>
      <c r="B88" s="120">
        <f t="shared" si="2"/>
        <v>5</v>
      </c>
      <c r="C88" s="120">
        <f t="shared" si="3"/>
        <v>317.5</v>
      </c>
      <c r="D88" s="124">
        <f t="shared" si="4"/>
        <v>-3.3336092715231789E-3</v>
      </c>
      <c r="E88" s="120">
        <f t="shared" si="5"/>
        <v>0</v>
      </c>
      <c r="F88" s="120">
        <f t="shared" si="6"/>
        <v>-8.5</v>
      </c>
      <c r="G88" s="120">
        <f t="shared" si="7"/>
        <v>-8.5</v>
      </c>
      <c r="H88" s="120">
        <f t="shared" si="8"/>
        <v>-14.875</v>
      </c>
      <c r="I88" s="125">
        <f t="shared" si="9"/>
        <v>-154.88461538461539</v>
      </c>
      <c r="J88" s="125">
        <f t="shared" si="10"/>
        <v>2.303908653846154</v>
      </c>
    </row>
    <row r="89" spans="1:10" x14ac:dyDescent="0.2">
      <c r="A89" s="120">
        <f t="shared" si="1"/>
        <v>65</v>
      </c>
      <c r="B89" s="120">
        <f t="shared" si="2"/>
        <v>5</v>
      </c>
      <c r="C89" s="120">
        <f t="shared" si="3"/>
        <v>322.5</v>
      </c>
      <c r="D89" s="124">
        <f t="shared" si="4"/>
        <v>-3.4412251655629145E-3</v>
      </c>
      <c r="E89" s="120">
        <f t="shared" si="5"/>
        <v>0</v>
      </c>
      <c r="F89" s="120">
        <f t="shared" si="6"/>
        <v>-8.5</v>
      </c>
      <c r="G89" s="120">
        <f t="shared" si="7"/>
        <v>-8.5</v>
      </c>
      <c r="H89" s="120">
        <f t="shared" si="8"/>
        <v>-14.875</v>
      </c>
      <c r="I89" s="125">
        <f t="shared" si="9"/>
        <v>-159.88461538461539</v>
      </c>
      <c r="J89" s="125">
        <f t="shared" si="10"/>
        <v>2.3782836538461538</v>
      </c>
    </row>
    <row r="90" spans="1:10" x14ac:dyDescent="0.2">
      <c r="A90" s="120">
        <f t="shared" si="1"/>
        <v>66</v>
      </c>
      <c r="B90" s="120">
        <f t="shared" si="2"/>
        <v>5</v>
      </c>
      <c r="C90" s="120">
        <f t="shared" si="3"/>
        <v>327.5</v>
      </c>
      <c r="D90" s="124">
        <f t="shared" si="4"/>
        <v>-3.5488410596026493E-3</v>
      </c>
      <c r="E90" s="120">
        <f t="shared" si="5"/>
        <v>0</v>
      </c>
      <c r="F90" s="120">
        <f t="shared" si="6"/>
        <v>-8.5</v>
      </c>
      <c r="G90" s="120">
        <f t="shared" si="7"/>
        <v>-8.5</v>
      </c>
      <c r="H90" s="120">
        <f t="shared" si="8"/>
        <v>-14.875</v>
      </c>
      <c r="I90" s="125">
        <f t="shared" si="9"/>
        <v>-164.88461538461539</v>
      </c>
      <c r="J90" s="125">
        <f t="shared" si="10"/>
        <v>2.4526586538461537</v>
      </c>
    </row>
    <row r="91" spans="1:10" x14ac:dyDescent="0.2">
      <c r="A91" s="120">
        <f t="shared" si="1"/>
        <v>67</v>
      </c>
      <c r="B91" s="120">
        <f t="shared" si="2"/>
        <v>5</v>
      </c>
      <c r="C91" s="120">
        <f t="shared" si="3"/>
        <v>332.5</v>
      </c>
      <c r="D91" s="124">
        <f t="shared" si="4"/>
        <v>-3.656456953642384E-3</v>
      </c>
      <c r="E91" s="120">
        <f t="shared" si="5"/>
        <v>0</v>
      </c>
      <c r="F91" s="120">
        <f t="shared" si="6"/>
        <v>-8.5</v>
      </c>
      <c r="G91" s="120">
        <f t="shared" si="7"/>
        <v>-8.5</v>
      </c>
      <c r="H91" s="120">
        <f t="shared" si="8"/>
        <v>-14.875</v>
      </c>
      <c r="I91" s="125">
        <f t="shared" si="9"/>
        <v>-169.88461538461539</v>
      </c>
      <c r="J91" s="125">
        <f t="shared" si="10"/>
        <v>2.527033653846154</v>
      </c>
    </row>
    <row r="92" spans="1:10" x14ac:dyDescent="0.2">
      <c r="A92" s="120">
        <f t="shared" si="1"/>
        <v>68</v>
      </c>
      <c r="B92" s="120">
        <f t="shared" si="2"/>
        <v>5</v>
      </c>
      <c r="C92" s="120">
        <f t="shared" si="3"/>
        <v>337.5</v>
      </c>
      <c r="D92" s="124">
        <f t="shared" si="4"/>
        <v>-3.7640728476821196E-3</v>
      </c>
      <c r="E92" s="120">
        <f t="shared" si="5"/>
        <v>0</v>
      </c>
      <c r="F92" s="120">
        <f t="shared" si="6"/>
        <v>-8.5</v>
      </c>
      <c r="G92" s="120">
        <f t="shared" si="7"/>
        <v>-8.5</v>
      </c>
      <c r="H92" s="120">
        <f t="shared" si="8"/>
        <v>-14.875</v>
      </c>
      <c r="I92" s="125">
        <f t="shared" si="9"/>
        <v>-174.88461538461539</v>
      </c>
      <c r="J92" s="125">
        <f t="shared" si="10"/>
        <v>2.6014086538461538</v>
      </c>
    </row>
    <row r="93" spans="1:10" x14ac:dyDescent="0.2">
      <c r="A93" s="120">
        <f t="shared" si="1"/>
        <v>69</v>
      </c>
      <c r="B93" s="120">
        <f t="shared" si="2"/>
        <v>5</v>
      </c>
      <c r="C93" s="120">
        <f t="shared" si="3"/>
        <v>342.5</v>
      </c>
      <c r="D93" s="124">
        <f t="shared" si="4"/>
        <v>-3.8716887417218544E-3</v>
      </c>
      <c r="E93" s="120">
        <f t="shared" si="5"/>
        <v>0</v>
      </c>
      <c r="F93" s="120">
        <f t="shared" si="6"/>
        <v>-8.5</v>
      </c>
      <c r="G93" s="120">
        <f t="shared" si="7"/>
        <v>-8.5</v>
      </c>
      <c r="H93" s="120">
        <f t="shared" si="8"/>
        <v>-14.875</v>
      </c>
      <c r="I93" s="125">
        <f t="shared" si="9"/>
        <v>-179.88461538461539</v>
      </c>
      <c r="J93" s="125">
        <f t="shared" si="10"/>
        <v>2.6757836538461537</v>
      </c>
    </row>
    <row r="94" spans="1:10" x14ac:dyDescent="0.2">
      <c r="A94" s="103">
        <f t="shared" si="1"/>
        <v>70</v>
      </c>
      <c r="B94" s="103">
        <f t="shared" si="2"/>
        <v>5</v>
      </c>
      <c r="C94" s="103">
        <f t="shared" si="3"/>
        <v>347.5</v>
      </c>
      <c r="D94" s="134">
        <f t="shared" si="4"/>
        <v>-3.9793046357615896E-3</v>
      </c>
      <c r="E94" s="103">
        <f t="shared" si="5"/>
        <v>0</v>
      </c>
      <c r="F94" s="103">
        <f t="shared" si="6"/>
        <v>-8.5</v>
      </c>
      <c r="G94" s="103">
        <f t="shared" si="7"/>
        <v>-8.5</v>
      </c>
      <c r="H94" s="103">
        <f t="shared" si="8"/>
        <v>-14.875</v>
      </c>
      <c r="I94" s="135">
        <f t="shared" si="9"/>
        <v>-184.88461538461539</v>
      </c>
      <c r="J94" s="135">
        <f t="shared" si="10"/>
        <v>2.750158653846154</v>
      </c>
    </row>
    <row r="95" spans="1:10" x14ac:dyDescent="0.2">
      <c r="D95" s="136"/>
    </row>
  </sheetData>
  <mergeCells count="14">
    <mergeCell ref="F14:G14"/>
    <mergeCell ref="A15:B15"/>
    <mergeCell ref="A1:G1"/>
    <mergeCell ref="A2:B2"/>
    <mergeCell ref="C2:D2"/>
    <mergeCell ref="A6:B6"/>
    <mergeCell ref="F6:H6"/>
    <mergeCell ref="F7:G7"/>
    <mergeCell ref="F8:G8"/>
    <mergeCell ref="F9:G9"/>
    <mergeCell ref="F10:G10"/>
    <mergeCell ref="F11:G11"/>
    <mergeCell ref="F12:G12"/>
    <mergeCell ref="F13:G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95"/>
  <sheetViews>
    <sheetView workbookViewId="0"/>
  </sheetViews>
  <sheetFormatPr baseColWidth="10" defaultColWidth="12.5703125" defaultRowHeight="12.75" x14ac:dyDescent="0.2"/>
  <cols>
    <col min="10" max="10" width="16.7109375" customWidth="1"/>
    <col min="20" max="20" width="16.28515625" customWidth="1"/>
  </cols>
  <sheetData>
    <row r="1" spans="1:8" x14ac:dyDescent="0.2">
      <c r="A1" s="143" t="s">
        <v>0</v>
      </c>
      <c r="B1" s="144"/>
      <c r="C1" s="144"/>
      <c r="D1" s="144"/>
      <c r="E1" s="144"/>
      <c r="F1" s="144"/>
      <c r="G1" s="145"/>
    </row>
    <row r="2" spans="1:8" x14ac:dyDescent="0.2">
      <c r="A2" s="146" t="s">
        <v>1</v>
      </c>
      <c r="B2" s="145"/>
      <c r="C2" s="146" t="s">
        <v>2</v>
      </c>
      <c r="D2" s="152"/>
      <c r="E2" s="100" t="s">
        <v>95</v>
      </c>
      <c r="F2" s="101" t="s">
        <v>96</v>
      </c>
      <c r="G2" s="102" t="s">
        <v>17</v>
      </c>
    </row>
    <row r="3" spans="1:8" x14ac:dyDescent="0.2">
      <c r="A3" s="4" t="s">
        <v>3</v>
      </c>
      <c r="B3" s="5">
        <v>350</v>
      </c>
      <c r="C3" s="73" t="s">
        <v>4</v>
      </c>
      <c r="D3" s="74">
        <v>420</v>
      </c>
      <c r="E3" s="103" t="s">
        <v>97</v>
      </c>
      <c r="F3" s="104" t="s">
        <v>98</v>
      </c>
      <c r="G3" s="105">
        <f>$B$11/($B$11+0.005)*$D$17</f>
        <v>124.35294117647058</v>
      </c>
    </row>
    <row r="4" spans="1:8" x14ac:dyDescent="0.2">
      <c r="A4" s="13" t="s">
        <v>6</v>
      </c>
      <c r="B4" s="14">
        <v>350</v>
      </c>
      <c r="C4" s="6" t="s">
        <v>7</v>
      </c>
      <c r="D4" s="7">
        <v>210</v>
      </c>
      <c r="E4" s="106" t="s">
        <v>99</v>
      </c>
      <c r="F4" s="107" t="s">
        <v>100</v>
      </c>
      <c r="G4" s="108">
        <v>5</v>
      </c>
    </row>
    <row r="5" spans="1:8" x14ac:dyDescent="0.2">
      <c r="A5" s="3" t="s">
        <v>9</v>
      </c>
      <c r="B5" s="19">
        <v>30</v>
      </c>
      <c r="C5" s="6" t="s">
        <v>10</v>
      </c>
      <c r="D5" s="20">
        <f>(D3)/(D4*1000)</f>
        <v>2E-3</v>
      </c>
    </row>
    <row r="6" spans="1:8" x14ac:dyDescent="0.2">
      <c r="A6" s="146" t="s">
        <v>12</v>
      </c>
      <c r="B6" s="145"/>
      <c r="C6" s="6" t="s">
        <v>13</v>
      </c>
      <c r="D6" s="7">
        <v>4</v>
      </c>
      <c r="F6" s="160" t="s">
        <v>51</v>
      </c>
      <c r="G6" s="144"/>
      <c r="H6" s="145"/>
    </row>
    <row r="7" spans="1:8" x14ac:dyDescent="0.2">
      <c r="A7" s="4" t="s">
        <v>15</v>
      </c>
      <c r="B7" s="25">
        <v>130</v>
      </c>
      <c r="C7" s="6" t="s">
        <v>16</v>
      </c>
      <c r="D7" s="7">
        <v>2</v>
      </c>
      <c r="F7" s="161" t="s">
        <v>82</v>
      </c>
      <c r="G7" s="162"/>
      <c r="H7" s="109">
        <f>SUMIF(H25:H94,"&gt;0",H25:H94)</f>
        <v>3139.1460917484164</v>
      </c>
    </row>
    <row r="8" spans="1:8" x14ac:dyDescent="0.2">
      <c r="A8" s="4" t="s">
        <v>87</v>
      </c>
      <c r="B8" s="77">
        <v>8.5</v>
      </c>
      <c r="C8" s="6" t="s">
        <v>19</v>
      </c>
      <c r="D8" s="7">
        <v>2</v>
      </c>
      <c r="F8" s="159" t="s">
        <v>83</v>
      </c>
      <c r="G8" s="149"/>
      <c r="H8" s="110">
        <f>SUMIF(H25:H94,"&lt;0",H25:H94)</f>
        <v>-468.16727323455336</v>
      </c>
    </row>
    <row r="9" spans="1:8" x14ac:dyDescent="0.2">
      <c r="A9" s="13" t="s">
        <v>88</v>
      </c>
      <c r="B9" s="6">
        <f>9115*1*(B7)^0.33</f>
        <v>45431.594485129361</v>
      </c>
      <c r="C9" s="6" t="s">
        <v>22</v>
      </c>
      <c r="D9" s="7">
        <v>4</v>
      </c>
      <c r="F9" s="159" t="s">
        <v>84</v>
      </c>
      <c r="G9" s="149"/>
      <c r="H9" s="111">
        <f>SUM(R25:R28)</f>
        <v>-188.65201469058633</v>
      </c>
    </row>
    <row r="10" spans="1:8" x14ac:dyDescent="0.2">
      <c r="A10" s="13" t="s">
        <v>89</v>
      </c>
      <c r="B10" s="78">
        <v>0.85</v>
      </c>
      <c r="C10" s="6" t="s">
        <v>27</v>
      </c>
      <c r="D10" s="7">
        <v>16</v>
      </c>
      <c r="F10" s="159" t="s">
        <v>85</v>
      </c>
      <c r="G10" s="149"/>
      <c r="H10" s="111">
        <f>H7+H8+H9</f>
        <v>2482.3268038232768</v>
      </c>
    </row>
    <row r="11" spans="1:8" x14ac:dyDescent="0.2">
      <c r="A11" s="3" t="s">
        <v>24</v>
      </c>
      <c r="B11" s="79">
        <v>3.5000000000000001E-3</v>
      </c>
      <c r="C11" s="6" t="s">
        <v>30</v>
      </c>
      <c r="D11" s="7">
        <v>16</v>
      </c>
      <c r="F11" s="159" t="s">
        <v>101</v>
      </c>
      <c r="G11" s="149"/>
      <c r="H11" s="112">
        <f>SUM(J25:J94)</f>
        <v>289.2582098268922</v>
      </c>
    </row>
    <row r="12" spans="1:8" x14ac:dyDescent="0.2">
      <c r="A12" s="3" t="s">
        <v>91</v>
      </c>
      <c r="B12" s="79">
        <v>4.4999999999999997E-3</v>
      </c>
      <c r="C12" s="6" t="s">
        <v>33</v>
      </c>
      <c r="D12" s="7">
        <v>16</v>
      </c>
      <c r="F12" s="159" t="s">
        <v>102</v>
      </c>
      <c r="G12" s="149"/>
      <c r="H12" s="111">
        <f>SUM(T25:T28)</f>
        <v>101.66507220975112</v>
      </c>
    </row>
    <row r="13" spans="1:8" x14ac:dyDescent="0.2">
      <c r="A13" s="3" t="s">
        <v>92</v>
      </c>
      <c r="B13" s="80">
        <f>B10*B7/B9</f>
        <v>2.4322280838320297E-3</v>
      </c>
      <c r="C13" s="6" t="s">
        <v>36</v>
      </c>
      <c r="D13" s="7">
        <v>16</v>
      </c>
      <c r="F13" s="159" t="s">
        <v>103</v>
      </c>
      <c r="G13" s="149"/>
      <c r="H13" s="112">
        <f>H11+H12</f>
        <v>390.92328203664329</v>
      </c>
    </row>
    <row r="14" spans="1:8" x14ac:dyDescent="0.2">
      <c r="A14" s="3" t="s">
        <v>93</v>
      </c>
      <c r="B14" s="81">
        <f>B8/B9</f>
        <v>1.8709446798707922E-4</v>
      </c>
      <c r="C14" s="6" t="s">
        <v>42</v>
      </c>
      <c r="D14" s="34">
        <f>B5+10+D10/2</f>
        <v>48</v>
      </c>
      <c r="F14" s="159" t="s">
        <v>86</v>
      </c>
      <c r="G14" s="149"/>
      <c r="H14" s="112">
        <f>H13+H10*($B$4/2-$G$3)/1000</f>
        <v>516.64583368910462</v>
      </c>
    </row>
    <row r="15" spans="1:8" x14ac:dyDescent="0.2">
      <c r="A15" s="146" t="s">
        <v>26</v>
      </c>
      <c r="B15" s="145"/>
      <c r="C15" s="33" t="s">
        <v>45</v>
      </c>
      <c r="D15" s="34">
        <f>D14+((D17-D14)/3)</f>
        <v>132.66666666666669</v>
      </c>
    </row>
    <row r="16" spans="1:8" x14ac:dyDescent="0.2">
      <c r="A16" s="73" t="s">
        <v>29</v>
      </c>
      <c r="B16" s="82">
        <f>B4*B3</f>
        <v>122500</v>
      </c>
      <c r="C16" s="6" t="s">
        <v>47</v>
      </c>
      <c r="D16" s="34">
        <f>D14+(2*(D17-D14)/3)</f>
        <v>217.33333333333334</v>
      </c>
    </row>
    <row r="17" spans="1:20" x14ac:dyDescent="0.2">
      <c r="A17" s="6" t="s">
        <v>32</v>
      </c>
      <c r="B17" s="33">
        <f t="shared" ref="B17:B20" si="0">(PI()/4)*(D10^2)*D6</f>
        <v>804.24771931898704</v>
      </c>
      <c r="C17" s="6" t="s">
        <v>48</v>
      </c>
      <c r="D17" s="34">
        <f>350-B5-10-D13/2</f>
        <v>302</v>
      </c>
    </row>
    <row r="18" spans="1:20" x14ac:dyDescent="0.2">
      <c r="A18" s="6" t="s">
        <v>35</v>
      </c>
      <c r="B18" s="33">
        <f t="shared" si="0"/>
        <v>402.12385965949352</v>
      </c>
    </row>
    <row r="19" spans="1:20" x14ac:dyDescent="0.2">
      <c r="A19" s="6" t="s">
        <v>38</v>
      </c>
      <c r="B19" s="33">
        <f t="shared" si="0"/>
        <v>402.12385965949352</v>
      </c>
    </row>
    <row r="20" spans="1:20" x14ac:dyDescent="0.2">
      <c r="A20" s="6" t="s">
        <v>41</v>
      </c>
      <c r="B20" s="33">
        <f t="shared" si="0"/>
        <v>804.24771931898704</v>
      </c>
    </row>
    <row r="21" spans="1:20" x14ac:dyDescent="0.2">
      <c r="A21" s="6" t="s">
        <v>46</v>
      </c>
      <c r="B21" s="33">
        <f>B17+B18+B19+B20</f>
        <v>2412.7431579569611</v>
      </c>
    </row>
    <row r="24" spans="1:20" x14ac:dyDescent="0.2">
      <c r="A24" s="106" t="s">
        <v>104</v>
      </c>
      <c r="B24" s="106" t="s">
        <v>100</v>
      </c>
      <c r="C24" s="106" t="s">
        <v>105</v>
      </c>
      <c r="D24" s="106" t="s">
        <v>106</v>
      </c>
      <c r="E24" s="106" t="s">
        <v>107</v>
      </c>
      <c r="F24" s="106" t="s">
        <v>108</v>
      </c>
      <c r="G24" s="106" t="s">
        <v>109</v>
      </c>
      <c r="H24" s="106" t="s">
        <v>110</v>
      </c>
      <c r="I24" s="106" t="s">
        <v>111</v>
      </c>
      <c r="J24" s="106" t="s">
        <v>101</v>
      </c>
      <c r="L24" s="113" t="s">
        <v>112</v>
      </c>
      <c r="M24" s="114" t="s">
        <v>113</v>
      </c>
      <c r="N24" s="114" t="s">
        <v>114</v>
      </c>
      <c r="O24" s="114" t="s">
        <v>65</v>
      </c>
      <c r="P24" s="114" t="s">
        <v>115</v>
      </c>
      <c r="Q24" s="114" t="s">
        <v>116</v>
      </c>
      <c r="R24" s="114" t="s">
        <v>117</v>
      </c>
      <c r="S24" s="114" t="s">
        <v>118</v>
      </c>
      <c r="T24" s="115" t="s">
        <v>102</v>
      </c>
    </row>
    <row r="25" spans="1:20" x14ac:dyDescent="0.2">
      <c r="A25" s="116">
        <f t="shared" ref="A25:A94" si="1">ROW()-24</f>
        <v>1</v>
      </c>
      <c r="B25" s="116">
        <f t="shared" ref="B25:B94" si="2">$G$4</f>
        <v>5</v>
      </c>
      <c r="C25" s="116">
        <f t="shared" ref="C25:C94" si="3">(A25-0.5)*$G$4</f>
        <v>2.5</v>
      </c>
      <c r="D25" s="117">
        <f t="shared" ref="D25:D94" si="4">$B$11*($G$3-C25)/$G$3</f>
        <v>3.4296357615894038E-3</v>
      </c>
      <c r="E25" s="116">
        <f t="shared" ref="E25:E94" si="5">IF(D25&gt;=0,MIN($B$9*D25,$B$10*$B$7),0)</f>
        <v>110.5</v>
      </c>
      <c r="F25" s="116">
        <f t="shared" ref="F25:F94" si="6">IF(D25&lt;0,IF(ABS(D25)&lt;=$B$12,-MIN($B$9*ABS(D25),$B$8),0),0)</f>
        <v>0</v>
      </c>
      <c r="G25" s="116">
        <f t="shared" ref="G25:G94" si="7">E25+F25</f>
        <v>110.5</v>
      </c>
      <c r="H25" s="116">
        <f t="shared" ref="H25:H94" si="8">G25*$B$3*B25/1000</f>
        <v>193.375</v>
      </c>
      <c r="I25" s="119">
        <f t="shared" ref="I25:I94" si="9">$G$3-C25</f>
        <v>121.85294117647058</v>
      </c>
      <c r="J25" s="119">
        <f t="shared" ref="J25:J94" si="10">H25*I25/1000</f>
        <v>23.563312499999999</v>
      </c>
      <c r="L25" s="120">
        <f>1</f>
        <v>1</v>
      </c>
      <c r="M25" s="121">
        <f t="shared" ref="M25:M28" si="11">D6</f>
        <v>4</v>
      </c>
      <c r="N25" s="122">
        <f t="shared" ref="N25:N28" si="12">B17</f>
        <v>804.24771931898704</v>
      </c>
      <c r="O25" s="123">
        <f t="shared" ref="O25:O28" si="13">D14</f>
        <v>48</v>
      </c>
      <c r="P25" s="124">
        <f t="shared" ref="P25:P28" si="14">$B$11*($G$3-O25)/$G$3</f>
        <v>2.1490066225165563E-3</v>
      </c>
      <c r="Q25" s="121">
        <f t="shared" ref="Q25:Q28" si="15">MAX(-$D$3,MIN($D$3,$D$4*1000*P25))</f>
        <v>420</v>
      </c>
      <c r="R25" s="122">
        <f t="shared" ref="R25:R28" si="16">Q25*N25/1000</f>
        <v>337.78404211397458</v>
      </c>
      <c r="S25" s="123">
        <f t="shared" ref="S25:S28" si="17">$G$3-O25</f>
        <v>76.35294117647058</v>
      </c>
      <c r="T25" s="122">
        <f t="shared" ref="T25:T28" si="18">R25*S25/1000</f>
        <v>25.79080509787876</v>
      </c>
    </row>
    <row r="26" spans="1:20" x14ac:dyDescent="0.2">
      <c r="A26" s="120">
        <f t="shared" si="1"/>
        <v>2</v>
      </c>
      <c r="B26" s="120">
        <f t="shared" si="2"/>
        <v>5</v>
      </c>
      <c r="C26" s="120">
        <f t="shared" si="3"/>
        <v>7.5</v>
      </c>
      <c r="D26" s="124">
        <f t="shared" si="4"/>
        <v>3.2889072847682123E-3</v>
      </c>
      <c r="E26" s="120">
        <f t="shared" si="5"/>
        <v>110.5</v>
      </c>
      <c r="F26" s="120">
        <f t="shared" si="6"/>
        <v>0</v>
      </c>
      <c r="G26" s="120">
        <f t="shared" si="7"/>
        <v>110.5</v>
      </c>
      <c r="H26" s="120">
        <f t="shared" si="8"/>
        <v>193.375</v>
      </c>
      <c r="I26" s="125">
        <f t="shared" si="9"/>
        <v>116.85294117647058</v>
      </c>
      <c r="J26" s="125">
        <f t="shared" si="10"/>
        <v>22.5964375</v>
      </c>
      <c r="L26" s="120">
        <f>2</f>
        <v>2</v>
      </c>
      <c r="M26" s="121">
        <f t="shared" si="11"/>
        <v>2</v>
      </c>
      <c r="N26" s="122">
        <f t="shared" si="12"/>
        <v>402.12385965949352</v>
      </c>
      <c r="O26" s="123">
        <f t="shared" si="13"/>
        <v>132.66666666666669</v>
      </c>
      <c r="P26" s="126">
        <f t="shared" si="14"/>
        <v>-2.3399558498896327E-4</v>
      </c>
      <c r="Q26" s="121">
        <f t="shared" si="15"/>
        <v>-49.139072847682286</v>
      </c>
      <c r="R26" s="122">
        <f t="shared" si="16"/>
        <v>-19.75999363359902</v>
      </c>
      <c r="S26" s="123">
        <f t="shared" si="17"/>
        <v>-8.3137254901961057</v>
      </c>
      <c r="T26" s="122">
        <f t="shared" si="18"/>
        <v>0.16427916275776494</v>
      </c>
    </row>
    <row r="27" spans="1:20" x14ac:dyDescent="0.2">
      <c r="A27" s="120">
        <f t="shared" si="1"/>
        <v>3</v>
      </c>
      <c r="B27" s="120">
        <f t="shared" si="2"/>
        <v>5</v>
      </c>
      <c r="C27" s="120">
        <f t="shared" si="3"/>
        <v>12.5</v>
      </c>
      <c r="D27" s="124">
        <f t="shared" si="4"/>
        <v>3.1481788079470198E-3</v>
      </c>
      <c r="E27" s="120">
        <f t="shared" si="5"/>
        <v>110.5</v>
      </c>
      <c r="F27" s="120">
        <f t="shared" si="6"/>
        <v>0</v>
      </c>
      <c r="G27" s="120">
        <f t="shared" si="7"/>
        <v>110.5</v>
      </c>
      <c r="H27" s="120">
        <f t="shared" si="8"/>
        <v>193.375</v>
      </c>
      <c r="I27" s="125">
        <f t="shared" si="9"/>
        <v>111.85294117647058</v>
      </c>
      <c r="J27" s="125">
        <f t="shared" si="10"/>
        <v>21.629562499999999</v>
      </c>
      <c r="L27" s="120">
        <v>3</v>
      </c>
      <c r="M27" s="121">
        <f t="shared" si="11"/>
        <v>2</v>
      </c>
      <c r="N27" s="122">
        <f t="shared" si="12"/>
        <v>402.12385965949352</v>
      </c>
      <c r="O27" s="123">
        <f t="shared" si="13"/>
        <v>217.33333333333334</v>
      </c>
      <c r="P27" s="126">
        <f t="shared" si="14"/>
        <v>-2.6169977924944817E-3</v>
      </c>
      <c r="Q27" s="121">
        <f t="shared" si="15"/>
        <v>-420</v>
      </c>
      <c r="R27" s="122">
        <f t="shared" si="16"/>
        <v>-168.89202105698729</v>
      </c>
      <c r="S27" s="123">
        <f t="shared" si="17"/>
        <v>-92.980392156862763</v>
      </c>
      <c r="T27" s="122">
        <f t="shared" si="18"/>
        <v>15.703646350043803</v>
      </c>
    </row>
    <row r="28" spans="1:20" x14ac:dyDescent="0.2">
      <c r="A28" s="120">
        <f t="shared" si="1"/>
        <v>4</v>
      </c>
      <c r="B28" s="120">
        <f t="shared" si="2"/>
        <v>5</v>
      </c>
      <c r="C28" s="120">
        <f t="shared" si="3"/>
        <v>17.5</v>
      </c>
      <c r="D28" s="124">
        <f t="shared" si="4"/>
        <v>3.0074503311258278E-3</v>
      </c>
      <c r="E28" s="120">
        <f t="shared" si="5"/>
        <v>110.5</v>
      </c>
      <c r="F28" s="120">
        <f t="shared" si="6"/>
        <v>0</v>
      </c>
      <c r="G28" s="120">
        <f t="shared" si="7"/>
        <v>110.5</v>
      </c>
      <c r="H28" s="120">
        <f t="shared" si="8"/>
        <v>193.375</v>
      </c>
      <c r="I28" s="125">
        <f t="shared" si="9"/>
        <v>106.85294117647058</v>
      </c>
      <c r="J28" s="125">
        <f t="shared" si="10"/>
        <v>20.662687500000001</v>
      </c>
      <c r="L28" s="103">
        <v>4</v>
      </c>
      <c r="M28" s="127">
        <f t="shared" si="11"/>
        <v>4</v>
      </c>
      <c r="N28" s="128">
        <f t="shared" si="12"/>
        <v>804.24771931898704</v>
      </c>
      <c r="O28" s="129">
        <f t="shared" si="13"/>
        <v>302</v>
      </c>
      <c r="P28" s="103">
        <f t="shared" si="14"/>
        <v>-5.000000000000001E-3</v>
      </c>
      <c r="Q28" s="127">
        <f t="shared" si="15"/>
        <v>-420</v>
      </c>
      <c r="R28" s="128">
        <f t="shared" si="16"/>
        <v>-337.78404211397458</v>
      </c>
      <c r="S28" s="129">
        <f t="shared" si="17"/>
        <v>-177.64705882352942</v>
      </c>
      <c r="T28" s="128">
        <f t="shared" si="18"/>
        <v>60.00634159907078</v>
      </c>
    </row>
    <row r="29" spans="1:20" x14ac:dyDescent="0.2">
      <c r="A29" s="120">
        <f t="shared" si="1"/>
        <v>5</v>
      </c>
      <c r="B29" s="120">
        <f t="shared" si="2"/>
        <v>5</v>
      </c>
      <c r="C29" s="120">
        <f t="shared" si="3"/>
        <v>22.5</v>
      </c>
      <c r="D29" s="124">
        <f t="shared" si="4"/>
        <v>2.8667218543046357E-3</v>
      </c>
      <c r="E29" s="120">
        <f t="shared" si="5"/>
        <v>110.5</v>
      </c>
      <c r="F29" s="120">
        <f t="shared" si="6"/>
        <v>0</v>
      </c>
      <c r="G29" s="120">
        <f t="shared" si="7"/>
        <v>110.5</v>
      </c>
      <c r="H29" s="120">
        <f t="shared" si="8"/>
        <v>193.375</v>
      </c>
      <c r="I29" s="125">
        <f t="shared" si="9"/>
        <v>101.85294117647058</v>
      </c>
      <c r="J29" s="125">
        <f t="shared" si="10"/>
        <v>19.695812499999999</v>
      </c>
      <c r="R29" s="130"/>
    </row>
    <row r="30" spans="1:20" x14ac:dyDescent="0.2">
      <c r="A30" s="120">
        <f t="shared" si="1"/>
        <v>6</v>
      </c>
      <c r="B30" s="120">
        <f t="shared" si="2"/>
        <v>5</v>
      </c>
      <c r="C30" s="120">
        <f t="shared" si="3"/>
        <v>27.5</v>
      </c>
      <c r="D30" s="124">
        <f t="shared" si="4"/>
        <v>2.7259933774834437E-3</v>
      </c>
      <c r="E30" s="120">
        <f t="shared" si="5"/>
        <v>110.5</v>
      </c>
      <c r="F30" s="120">
        <f t="shared" si="6"/>
        <v>0</v>
      </c>
      <c r="G30" s="120">
        <f t="shared" si="7"/>
        <v>110.5</v>
      </c>
      <c r="H30" s="120">
        <f t="shared" si="8"/>
        <v>193.375</v>
      </c>
      <c r="I30" s="125">
        <f t="shared" si="9"/>
        <v>96.85294117647058</v>
      </c>
      <c r="J30" s="125">
        <f t="shared" si="10"/>
        <v>18.728937500000001</v>
      </c>
    </row>
    <row r="31" spans="1:20" x14ac:dyDescent="0.2">
      <c r="A31" s="120">
        <f t="shared" si="1"/>
        <v>7</v>
      </c>
      <c r="B31" s="120">
        <f t="shared" si="2"/>
        <v>5</v>
      </c>
      <c r="C31" s="120">
        <f t="shared" si="3"/>
        <v>32.5</v>
      </c>
      <c r="D31" s="124">
        <f t="shared" si="4"/>
        <v>2.5852649006622517E-3</v>
      </c>
      <c r="E31" s="120">
        <f t="shared" si="5"/>
        <v>110.5</v>
      </c>
      <c r="F31" s="120">
        <f t="shared" si="6"/>
        <v>0</v>
      </c>
      <c r="G31" s="120">
        <f t="shared" si="7"/>
        <v>110.5</v>
      </c>
      <c r="H31" s="120">
        <f t="shared" si="8"/>
        <v>193.375</v>
      </c>
      <c r="I31" s="125">
        <f t="shared" si="9"/>
        <v>91.85294117647058</v>
      </c>
      <c r="J31" s="125">
        <f t="shared" si="10"/>
        <v>17.762062499999999</v>
      </c>
    </row>
    <row r="32" spans="1:20" x14ac:dyDescent="0.2">
      <c r="A32" s="120">
        <f t="shared" si="1"/>
        <v>8</v>
      </c>
      <c r="B32" s="120">
        <f t="shared" si="2"/>
        <v>5</v>
      </c>
      <c r="C32" s="120">
        <f t="shared" si="3"/>
        <v>37.5</v>
      </c>
      <c r="D32" s="124">
        <f t="shared" si="4"/>
        <v>2.4445364238410597E-3</v>
      </c>
      <c r="E32" s="120">
        <f t="shared" si="5"/>
        <v>110.5</v>
      </c>
      <c r="F32" s="120">
        <f t="shared" si="6"/>
        <v>0</v>
      </c>
      <c r="G32" s="120">
        <f t="shared" si="7"/>
        <v>110.5</v>
      </c>
      <c r="H32" s="120">
        <f t="shared" si="8"/>
        <v>193.375</v>
      </c>
      <c r="I32" s="125">
        <f t="shared" si="9"/>
        <v>86.85294117647058</v>
      </c>
      <c r="J32" s="125">
        <f t="shared" si="10"/>
        <v>16.795187500000001</v>
      </c>
    </row>
    <row r="33" spans="1:19" x14ac:dyDescent="0.2">
      <c r="A33" s="120">
        <f t="shared" si="1"/>
        <v>9</v>
      </c>
      <c r="B33" s="120">
        <f t="shared" si="2"/>
        <v>5</v>
      </c>
      <c r="C33" s="120">
        <f t="shared" si="3"/>
        <v>42.5</v>
      </c>
      <c r="D33" s="124">
        <f t="shared" si="4"/>
        <v>2.3038079470198676E-3</v>
      </c>
      <c r="E33" s="123">
        <f t="shared" si="5"/>
        <v>104.66566842062501</v>
      </c>
      <c r="F33" s="121">
        <f t="shared" si="6"/>
        <v>0</v>
      </c>
      <c r="G33" s="123">
        <f t="shared" si="7"/>
        <v>104.66566842062501</v>
      </c>
      <c r="H33" s="123">
        <f t="shared" si="8"/>
        <v>183.16491973609376</v>
      </c>
      <c r="I33" s="125">
        <f t="shared" si="9"/>
        <v>81.85294117647058</v>
      </c>
      <c r="J33" s="125">
        <f t="shared" si="10"/>
        <v>14.992587400751438</v>
      </c>
    </row>
    <row r="34" spans="1:19" x14ac:dyDescent="0.2">
      <c r="A34" s="120">
        <f t="shared" si="1"/>
        <v>10</v>
      </c>
      <c r="B34" s="120">
        <f t="shared" si="2"/>
        <v>5</v>
      </c>
      <c r="C34" s="120">
        <f t="shared" si="3"/>
        <v>47.5</v>
      </c>
      <c r="D34" s="124">
        <f t="shared" si="4"/>
        <v>2.1630794701986756E-3</v>
      </c>
      <c r="E34" s="123">
        <f t="shared" si="5"/>
        <v>98.272149329174695</v>
      </c>
      <c r="F34" s="121">
        <f t="shared" si="6"/>
        <v>0</v>
      </c>
      <c r="G34" s="123">
        <f t="shared" si="7"/>
        <v>98.272149329174695</v>
      </c>
      <c r="H34" s="123">
        <f t="shared" si="8"/>
        <v>171.97626132605572</v>
      </c>
      <c r="I34" s="125">
        <f t="shared" si="9"/>
        <v>76.85294117647058</v>
      </c>
      <c r="J34" s="125">
        <f t="shared" si="10"/>
        <v>13.216881495440694</v>
      </c>
      <c r="M34" s="131"/>
      <c r="N34" s="130"/>
      <c r="O34" s="132"/>
      <c r="Q34" s="131"/>
      <c r="S34" s="132"/>
    </row>
    <row r="35" spans="1:19" x14ac:dyDescent="0.2">
      <c r="A35" s="120">
        <f t="shared" si="1"/>
        <v>11</v>
      </c>
      <c r="B35" s="120">
        <f t="shared" si="2"/>
        <v>5</v>
      </c>
      <c r="C35" s="120">
        <f t="shared" si="3"/>
        <v>52.5</v>
      </c>
      <c r="D35" s="124">
        <f t="shared" si="4"/>
        <v>2.0223509933774832E-3</v>
      </c>
      <c r="E35" s="123">
        <f t="shared" si="5"/>
        <v>91.878630237724352</v>
      </c>
      <c r="F35" s="120">
        <f t="shared" si="6"/>
        <v>0</v>
      </c>
      <c r="G35" s="123">
        <f t="shared" si="7"/>
        <v>91.878630237724352</v>
      </c>
      <c r="H35" s="122">
        <f t="shared" si="8"/>
        <v>160.78760291601762</v>
      </c>
      <c r="I35" s="125">
        <f t="shared" si="9"/>
        <v>71.85294117647058</v>
      </c>
      <c r="J35" s="125">
        <f t="shared" si="10"/>
        <v>11.553062174230323</v>
      </c>
    </row>
    <row r="36" spans="1:19" x14ac:dyDescent="0.2">
      <c r="A36" s="120">
        <f t="shared" si="1"/>
        <v>12</v>
      </c>
      <c r="B36" s="120">
        <f t="shared" si="2"/>
        <v>5</v>
      </c>
      <c r="C36" s="120">
        <f t="shared" si="3"/>
        <v>57.5</v>
      </c>
      <c r="D36" s="124">
        <f t="shared" si="4"/>
        <v>1.8816225165562913E-3</v>
      </c>
      <c r="E36" s="123">
        <f t="shared" si="5"/>
        <v>85.485111146274036</v>
      </c>
      <c r="F36" s="120">
        <f t="shared" si="6"/>
        <v>0</v>
      </c>
      <c r="G36" s="123">
        <f t="shared" si="7"/>
        <v>85.485111146274036</v>
      </c>
      <c r="H36" s="122">
        <f t="shared" si="8"/>
        <v>149.59894450597957</v>
      </c>
      <c r="I36" s="125">
        <f t="shared" si="9"/>
        <v>66.85294117647058</v>
      </c>
      <c r="J36" s="125">
        <f t="shared" si="10"/>
        <v>10.001129437120339</v>
      </c>
    </row>
    <row r="37" spans="1:19" x14ac:dyDescent="0.2">
      <c r="A37" s="120">
        <f t="shared" si="1"/>
        <v>13</v>
      </c>
      <c r="B37" s="120">
        <f t="shared" si="2"/>
        <v>5</v>
      </c>
      <c r="C37" s="120">
        <f t="shared" si="3"/>
        <v>62.5</v>
      </c>
      <c r="D37" s="124">
        <f t="shared" si="4"/>
        <v>1.7408940397350991E-3</v>
      </c>
      <c r="E37" s="123">
        <f t="shared" si="5"/>
        <v>79.091592054823707</v>
      </c>
      <c r="F37" s="120">
        <f t="shared" si="6"/>
        <v>0</v>
      </c>
      <c r="G37" s="123">
        <f t="shared" si="7"/>
        <v>79.091592054823707</v>
      </c>
      <c r="H37" s="122">
        <f t="shared" si="8"/>
        <v>138.4102860959415</v>
      </c>
      <c r="I37" s="125">
        <f t="shared" si="9"/>
        <v>61.85294117647058</v>
      </c>
      <c r="J37" s="125">
        <f t="shared" si="10"/>
        <v>8.5610832841107332</v>
      </c>
    </row>
    <row r="38" spans="1:19" x14ac:dyDescent="0.2">
      <c r="A38" s="120">
        <f t="shared" si="1"/>
        <v>14</v>
      </c>
      <c r="B38" s="120">
        <f t="shared" si="2"/>
        <v>5</v>
      </c>
      <c r="C38" s="120">
        <f t="shared" si="3"/>
        <v>67.5</v>
      </c>
      <c r="D38" s="124">
        <f t="shared" si="4"/>
        <v>1.6001655629139073E-3</v>
      </c>
      <c r="E38" s="123">
        <f t="shared" si="5"/>
        <v>72.698072963373392</v>
      </c>
      <c r="F38" s="120">
        <f t="shared" si="6"/>
        <v>0</v>
      </c>
      <c r="G38" s="123">
        <f t="shared" si="7"/>
        <v>72.698072963373392</v>
      </c>
      <c r="H38" s="122">
        <f t="shared" si="8"/>
        <v>127.22162768590344</v>
      </c>
      <c r="I38" s="125">
        <f t="shared" si="9"/>
        <v>56.85294117647058</v>
      </c>
      <c r="J38" s="125">
        <f t="shared" si="10"/>
        <v>7.2329237152015091</v>
      </c>
    </row>
    <row r="39" spans="1:19" x14ac:dyDescent="0.2">
      <c r="A39" s="120">
        <f t="shared" si="1"/>
        <v>15</v>
      </c>
      <c r="B39" s="120">
        <f t="shared" si="2"/>
        <v>5</v>
      </c>
      <c r="C39" s="120">
        <f t="shared" si="3"/>
        <v>72.5</v>
      </c>
      <c r="D39" s="124">
        <f t="shared" si="4"/>
        <v>1.459437086092715E-3</v>
      </c>
      <c r="E39" s="123">
        <f t="shared" si="5"/>
        <v>66.304553871923062</v>
      </c>
      <c r="F39" s="120">
        <f t="shared" si="6"/>
        <v>0</v>
      </c>
      <c r="G39" s="123">
        <f t="shared" si="7"/>
        <v>66.304553871923062</v>
      </c>
      <c r="H39" s="122">
        <f t="shared" si="8"/>
        <v>116.03296927586536</v>
      </c>
      <c r="I39" s="125">
        <f t="shared" si="9"/>
        <v>51.85294117647058</v>
      </c>
      <c r="J39" s="125">
        <f t="shared" si="10"/>
        <v>6.0166507303926648</v>
      </c>
    </row>
    <row r="40" spans="1:19" x14ac:dyDescent="0.2">
      <c r="A40" s="120">
        <f t="shared" si="1"/>
        <v>16</v>
      </c>
      <c r="B40" s="120">
        <f t="shared" si="2"/>
        <v>5</v>
      </c>
      <c r="C40" s="120">
        <f t="shared" si="3"/>
        <v>77.5</v>
      </c>
      <c r="D40" s="124">
        <f t="shared" si="4"/>
        <v>1.318708609271523E-3</v>
      </c>
      <c r="E40" s="123">
        <f t="shared" si="5"/>
        <v>59.911034780472733</v>
      </c>
      <c r="F40" s="120">
        <f t="shared" si="6"/>
        <v>0</v>
      </c>
      <c r="G40" s="123">
        <f t="shared" si="7"/>
        <v>59.911034780472733</v>
      </c>
      <c r="H40" s="122">
        <f t="shared" si="8"/>
        <v>104.84431086582728</v>
      </c>
      <c r="I40" s="125">
        <f t="shared" si="9"/>
        <v>46.85294117647058</v>
      </c>
      <c r="J40" s="125">
        <f t="shared" si="10"/>
        <v>4.9122643296842003</v>
      </c>
    </row>
    <row r="41" spans="1:19" x14ac:dyDescent="0.2">
      <c r="A41" s="120">
        <f t="shared" si="1"/>
        <v>17</v>
      </c>
      <c r="B41" s="120">
        <f t="shared" si="2"/>
        <v>5</v>
      </c>
      <c r="C41" s="120">
        <f t="shared" si="3"/>
        <v>82.5</v>
      </c>
      <c r="D41" s="124">
        <f t="shared" si="4"/>
        <v>1.1779801324503308E-3</v>
      </c>
      <c r="E41" s="123">
        <f t="shared" si="5"/>
        <v>53.517515689022403</v>
      </c>
      <c r="F41" s="120">
        <f t="shared" si="6"/>
        <v>0</v>
      </c>
      <c r="G41" s="123">
        <f t="shared" si="7"/>
        <v>53.517515689022403</v>
      </c>
      <c r="H41" s="122">
        <f t="shared" si="8"/>
        <v>93.655652455789209</v>
      </c>
      <c r="I41" s="125">
        <f t="shared" si="9"/>
        <v>41.85294117647058</v>
      </c>
      <c r="J41" s="125">
        <f t="shared" si="10"/>
        <v>3.9197645130761178</v>
      </c>
    </row>
    <row r="42" spans="1:19" x14ac:dyDescent="0.2">
      <c r="A42" s="120">
        <f t="shared" si="1"/>
        <v>18</v>
      </c>
      <c r="B42" s="120">
        <f t="shared" si="2"/>
        <v>5</v>
      </c>
      <c r="C42" s="120">
        <f t="shared" si="3"/>
        <v>87.5</v>
      </c>
      <c r="D42" s="124">
        <f t="shared" si="4"/>
        <v>1.037251655629139E-3</v>
      </c>
      <c r="E42" s="123">
        <f t="shared" si="5"/>
        <v>47.123996597572088</v>
      </c>
      <c r="F42" s="120">
        <f t="shared" si="6"/>
        <v>0</v>
      </c>
      <c r="G42" s="123">
        <f t="shared" si="7"/>
        <v>47.123996597572088</v>
      </c>
      <c r="H42" s="122">
        <f t="shared" si="8"/>
        <v>82.466994045751164</v>
      </c>
      <c r="I42" s="125">
        <f t="shared" si="9"/>
        <v>36.85294117647058</v>
      </c>
      <c r="J42" s="125">
        <f t="shared" si="10"/>
        <v>3.0391512805684173</v>
      </c>
    </row>
    <row r="43" spans="1:19" x14ac:dyDescent="0.2">
      <c r="A43" s="120">
        <f t="shared" si="1"/>
        <v>19</v>
      </c>
      <c r="B43" s="120">
        <f t="shared" si="2"/>
        <v>5</v>
      </c>
      <c r="C43" s="120">
        <f t="shared" si="3"/>
        <v>92.5</v>
      </c>
      <c r="D43" s="124">
        <f t="shared" si="4"/>
        <v>8.9652317880794684E-4</v>
      </c>
      <c r="E43" s="123">
        <f t="shared" si="5"/>
        <v>40.730477506121758</v>
      </c>
      <c r="F43" s="120">
        <f t="shared" si="6"/>
        <v>0</v>
      </c>
      <c r="G43" s="123">
        <f t="shared" si="7"/>
        <v>40.730477506121758</v>
      </c>
      <c r="H43" s="122">
        <f t="shared" si="8"/>
        <v>71.278335635713063</v>
      </c>
      <c r="I43" s="125">
        <f t="shared" si="9"/>
        <v>31.85294117647058</v>
      </c>
      <c r="J43" s="125">
        <f t="shared" si="10"/>
        <v>2.2704246321610948</v>
      </c>
    </row>
    <row r="44" spans="1:19" x14ac:dyDescent="0.2">
      <c r="A44" s="120">
        <f t="shared" si="1"/>
        <v>20</v>
      </c>
      <c r="B44" s="120">
        <f t="shared" si="2"/>
        <v>5</v>
      </c>
      <c r="C44" s="120">
        <f t="shared" si="3"/>
        <v>97.5</v>
      </c>
      <c r="D44" s="124">
        <f t="shared" si="4"/>
        <v>7.5579470198675481E-4</v>
      </c>
      <c r="E44" s="123">
        <f t="shared" si="5"/>
        <v>34.336958414671436</v>
      </c>
      <c r="F44" s="120">
        <f t="shared" si="6"/>
        <v>0</v>
      </c>
      <c r="G44" s="123">
        <f t="shared" si="7"/>
        <v>34.336958414671436</v>
      </c>
      <c r="H44" s="122">
        <f t="shared" si="8"/>
        <v>60.089677225675011</v>
      </c>
      <c r="I44" s="125">
        <f t="shared" si="9"/>
        <v>26.85294117647058</v>
      </c>
      <c r="J44" s="125">
        <f t="shared" si="10"/>
        <v>1.6135845678541549</v>
      </c>
    </row>
    <row r="45" spans="1:19" x14ac:dyDescent="0.2">
      <c r="A45" s="120">
        <f t="shared" si="1"/>
        <v>21</v>
      </c>
      <c r="B45" s="120">
        <f t="shared" si="2"/>
        <v>5</v>
      </c>
      <c r="C45" s="120">
        <f t="shared" si="3"/>
        <v>102.5</v>
      </c>
      <c r="D45" s="124">
        <f t="shared" si="4"/>
        <v>6.1506622516556268E-4</v>
      </c>
      <c r="E45" s="123">
        <f t="shared" si="5"/>
        <v>27.94343932322111</v>
      </c>
      <c r="F45" s="120">
        <f t="shared" si="6"/>
        <v>0</v>
      </c>
      <c r="G45" s="123">
        <f t="shared" si="7"/>
        <v>27.94343932322111</v>
      </c>
      <c r="H45" s="122">
        <f t="shared" si="8"/>
        <v>48.901018815636938</v>
      </c>
      <c r="I45" s="125">
        <f t="shared" si="9"/>
        <v>21.85294117647058</v>
      </c>
      <c r="J45" s="125">
        <f t="shared" si="10"/>
        <v>1.0686310876475951</v>
      </c>
    </row>
    <row r="46" spans="1:19" x14ac:dyDescent="0.2">
      <c r="A46" s="120">
        <f t="shared" si="1"/>
        <v>22</v>
      </c>
      <c r="B46" s="120">
        <f t="shared" si="2"/>
        <v>5</v>
      </c>
      <c r="C46" s="120">
        <f t="shared" si="3"/>
        <v>107.5</v>
      </c>
      <c r="D46" s="124">
        <f t="shared" si="4"/>
        <v>4.7433774834437065E-4</v>
      </c>
      <c r="E46" s="123">
        <f t="shared" si="5"/>
        <v>21.549920231770788</v>
      </c>
      <c r="F46" s="120">
        <f t="shared" si="6"/>
        <v>0</v>
      </c>
      <c r="G46" s="123">
        <f t="shared" si="7"/>
        <v>21.549920231770788</v>
      </c>
      <c r="H46" s="122">
        <f t="shared" si="8"/>
        <v>37.712360405598879</v>
      </c>
      <c r="I46" s="125">
        <f t="shared" si="9"/>
        <v>16.85294117647058</v>
      </c>
      <c r="J46" s="125">
        <f t="shared" si="10"/>
        <v>0.63556419154141608</v>
      </c>
    </row>
    <row r="47" spans="1:19" x14ac:dyDescent="0.2">
      <c r="A47" s="120">
        <f t="shared" si="1"/>
        <v>23</v>
      </c>
      <c r="B47" s="120">
        <f t="shared" si="2"/>
        <v>5</v>
      </c>
      <c r="C47" s="120">
        <f t="shared" si="3"/>
        <v>112.5</v>
      </c>
      <c r="D47" s="124">
        <f t="shared" si="4"/>
        <v>3.3360927152317857E-4</v>
      </c>
      <c r="E47" s="123">
        <f t="shared" si="5"/>
        <v>15.156401140320463</v>
      </c>
      <c r="F47" s="120">
        <f t="shared" si="6"/>
        <v>0</v>
      </c>
      <c r="G47" s="123">
        <f t="shared" si="7"/>
        <v>15.156401140320463</v>
      </c>
      <c r="H47" s="122">
        <f t="shared" si="8"/>
        <v>26.52370199556081</v>
      </c>
      <c r="I47" s="125">
        <f t="shared" si="9"/>
        <v>11.85294117647058</v>
      </c>
      <c r="J47" s="125">
        <f t="shared" si="10"/>
        <v>0.31438387953561758</v>
      </c>
    </row>
    <row r="48" spans="1:19" x14ac:dyDescent="0.2">
      <c r="A48" s="120">
        <f t="shared" si="1"/>
        <v>24</v>
      </c>
      <c r="B48" s="120">
        <f t="shared" si="2"/>
        <v>5</v>
      </c>
      <c r="C48" s="120">
        <f t="shared" si="3"/>
        <v>117.5</v>
      </c>
      <c r="D48" s="124">
        <f t="shared" si="4"/>
        <v>1.9288079470198655E-4</v>
      </c>
      <c r="E48" s="123">
        <f t="shared" si="5"/>
        <v>8.7628820488701411</v>
      </c>
      <c r="F48" s="120">
        <f t="shared" si="6"/>
        <v>0</v>
      </c>
      <c r="G48" s="123">
        <f t="shared" si="7"/>
        <v>8.7628820488701411</v>
      </c>
      <c r="H48" s="122">
        <f t="shared" si="8"/>
        <v>15.335043585522746</v>
      </c>
      <c r="I48" s="125">
        <f t="shared" si="9"/>
        <v>6.8529411764705799</v>
      </c>
      <c r="J48" s="125">
        <f t="shared" si="10"/>
        <v>0.10509015163019987</v>
      </c>
    </row>
    <row r="49" spans="1:10" x14ac:dyDescent="0.2">
      <c r="A49" s="120">
        <f t="shared" si="1"/>
        <v>25</v>
      </c>
      <c r="B49" s="120">
        <f t="shared" si="2"/>
        <v>5</v>
      </c>
      <c r="C49" s="120">
        <f t="shared" si="3"/>
        <v>122.5</v>
      </c>
      <c r="D49" s="124">
        <f t="shared" si="4"/>
        <v>5.2152317880794473E-5</v>
      </c>
      <c r="E49" s="123">
        <f t="shared" si="5"/>
        <v>2.3693629574198156</v>
      </c>
      <c r="F49" s="120">
        <f t="shared" si="6"/>
        <v>0</v>
      </c>
      <c r="G49" s="123">
        <f t="shared" si="7"/>
        <v>2.3693629574198156</v>
      </c>
      <c r="H49" s="122">
        <f t="shared" si="8"/>
        <v>4.146385175484677</v>
      </c>
      <c r="I49" s="125">
        <f t="shared" si="9"/>
        <v>1.8529411764705799</v>
      </c>
      <c r="J49" s="125">
        <f t="shared" si="10"/>
        <v>7.6830078251627493E-3</v>
      </c>
    </row>
    <row r="50" spans="1:10" x14ac:dyDescent="0.2">
      <c r="A50" s="120">
        <f t="shared" si="1"/>
        <v>26</v>
      </c>
      <c r="B50" s="120">
        <f t="shared" si="2"/>
        <v>5</v>
      </c>
      <c r="C50" s="120">
        <f t="shared" si="3"/>
        <v>127.5</v>
      </c>
      <c r="D50" s="124">
        <f t="shared" si="4"/>
        <v>-8.8576158940397587E-5</v>
      </c>
      <c r="E50" s="123">
        <f t="shared" si="5"/>
        <v>0</v>
      </c>
      <c r="F50" s="133">
        <f t="shared" si="6"/>
        <v>-4.024156134030509</v>
      </c>
      <c r="G50" s="123">
        <f t="shared" si="7"/>
        <v>-4.024156134030509</v>
      </c>
      <c r="H50" s="122">
        <f t="shared" si="8"/>
        <v>-7.0422732345533907</v>
      </c>
      <c r="I50" s="125">
        <f t="shared" si="9"/>
        <v>-3.1470588235294201</v>
      </c>
      <c r="J50" s="125">
        <f t="shared" si="10"/>
        <v>2.2162448120506318E-2</v>
      </c>
    </row>
    <row r="51" spans="1:10" x14ac:dyDescent="0.2">
      <c r="A51" s="120">
        <f t="shared" si="1"/>
        <v>27</v>
      </c>
      <c r="B51" s="120">
        <f t="shared" si="2"/>
        <v>5</v>
      </c>
      <c r="C51" s="120">
        <f t="shared" si="3"/>
        <v>132.5</v>
      </c>
      <c r="D51" s="124">
        <f t="shared" si="4"/>
        <v>-2.2930463576158964E-4</v>
      </c>
      <c r="E51" s="123">
        <f t="shared" si="5"/>
        <v>0</v>
      </c>
      <c r="F51" s="120">
        <f t="shared" si="6"/>
        <v>-8.5</v>
      </c>
      <c r="G51" s="123">
        <f t="shared" si="7"/>
        <v>-8.5</v>
      </c>
      <c r="H51" s="122">
        <f t="shared" si="8"/>
        <v>-14.875</v>
      </c>
      <c r="I51" s="125">
        <f t="shared" si="9"/>
        <v>-8.1470588235294201</v>
      </c>
      <c r="J51" s="125">
        <f t="shared" si="10"/>
        <v>0.12118750000000013</v>
      </c>
    </row>
    <row r="52" spans="1:10" x14ac:dyDescent="0.2">
      <c r="A52" s="120">
        <f t="shared" si="1"/>
        <v>28</v>
      </c>
      <c r="B52" s="120">
        <f t="shared" si="2"/>
        <v>5</v>
      </c>
      <c r="C52" s="120">
        <f t="shared" si="3"/>
        <v>137.5</v>
      </c>
      <c r="D52" s="124">
        <f t="shared" si="4"/>
        <v>-3.7003311258278172E-4</v>
      </c>
      <c r="E52" s="123">
        <f t="shared" si="5"/>
        <v>0</v>
      </c>
      <c r="F52" s="120">
        <f t="shared" si="6"/>
        <v>-8.5</v>
      </c>
      <c r="G52" s="123">
        <f t="shared" si="7"/>
        <v>-8.5</v>
      </c>
      <c r="H52" s="122">
        <f t="shared" si="8"/>
        <v>-14.875</v>
      </c>
      <c r="I52" s="125">
        <f t="shared" si="9"/>
        <v>-13.14705882352942</v>
      </c>
      <c r="J52" s="125">
        <f t="shared" si="10"/>
        <v>0.19556250000000011</v>
      </c>
    </row>
    <row r="53" spans="1:10" x14ac:dyDescent="0.2">
      <c r="A53" s="120">
        <f t="shared" si="1"/>
        <v>29</v>
      </c>
      <c r="B53" s="120">
        <f t="shared" si="2"/>
        <v>5</v>
      </c>
      <c r="C53" s="120">
        <f t="shared" si="3"/>
        <v>142.5</v>
      </c>
      <c r="D53" s="124">
        <f t="shared" si="4"/>
        <v>-5.1076158940397385E-4</v>
      </c>
      <c r="E53" s="123">
        <f t="shared" si="5"/>
        <v>0</v>
      </c>
      <c r="F53" s="120">
        <f t="shared" si="6"/>
        <v>-8.5</v>
      </c>
      <c r="G53" s="123">
        <f t="shared" si="7"/>
        <v>-8.5</v>
      </c>
      <c r="H53" s="122">
        <f t="shared" si="8"/>
        <v>-14.875</v>
      </c>
      <c r="I53" s="125">
        <f t="shared" si="9"/>
        <v>-18.14705882352942</v>
      </c>
      <c r="J53" s="125">
        <f t="shared" si="10"/>
        <v>0.26993750000000011</v>
      </c>
    </row>
    <row r="54" spans="1:10" x14ac:dyDescent="0.2">
      <c r="A54" s="120">
        <f t="shared" si="1"/>
        <v>30</v>
      </c>
      <c r="B54" s="120">
        <f t="shared" si="2"/>
        <v>5</v>
      </c>
      <c r="C54" s="120">
        <f t="shared" si="3"/>
        <v>147.5</v>
      </c>
      <c r="D54" s="124">
        <f t="shared" si="4"/>
        <v>-6.5149006622516588E-4</v>
      </c>
      <c r="E54" s="123">
        <f t="shared" si="5"/>
        <v>0</v>
      </c>
      <c r="F54" s="120">
        <f t="shared" si="6"/>
        <v>-8.5</v>
      </c>
      <c r="G54" s="123">
        <f t="shared" si="7"/>
        <v>-8.5</v>
      </c>
      <c r="H54" s="122">
        <f t="shared" si="8"/>
        <v>-14.875</v>
      </c>
      <c r="I54" s="125">
        <f t="shared" si="9"/>
        <v>-23.14705882352942</v>
      </c>
      <c r="J54" s="125">
        <f t="shared" si="10"/>
        <v>0.34431250000000013</v>
      </c>
    </row>
    <row r="55" spans="1:10" x14ac:dyDescent="0.2">
      <c r="A55" s="120">
        <f t="shared" si="1"/>
        <v>31</v>
      </c>
      <c r="B55" s="120">
        <f t="shared" si="2"/>
        <v>5</v>
      </c>
      <c r="C55" s="120">
        <f t="shared" si="3"/>
        <v>152.5</v>
      </c>
      <c r="D55" s="124">
        <f t="shared" si="4"/>
        <v>-7.9221854304635791E-4</v>
      </c>
      <c r="E55" s="123">
        <f t="shared" si="5"/>
        <v>0</v>
      </c>
      <c r="F55" s="120">
        <f t="shared" si="6"/>
        <v>-8.5</v>
      </c>
      <c r="G55" s="123">
        <f t="shared" si="7"/>
        <v>-8.5</v>
      </c>
      <c r="H55" s="122">
        <f t="shared" si="8"/>
        <v>-14.875</v>
      </c>
      <c r="I55" s="125">
        <f t="shared" si="9"/>
        <v>-28.14705882352942</v>
      </c>
      <c r="J55" s="125">
        <f t="shared" si="10"/>
        <v>0.4186875000000001</v>
      </c>
    </row>
    <row r="56" spans="1:10" x14ac:dyDescent="0.2">
      <c r="A56" s="120">
        <f t="shared" si="1"/>
        <v>32</v>
      </c>
      <c r="B56" s="120">
        <f t="shared" si="2"/>
        <v>5</v>
      </c>
      <c r="C56" s="120">
        <f t="shared" si="3"/>
        <v>157.5</v>
      </c>
      <c r="D56" s="124">
        <f t="shared" si="4"/>
        <v>-9.3294701986755004E-4</v>
      </c>
      <c r="E56" s="123">
        <f t="shared" si="5"/>
        <v>0</v>
      </c>
      <c r="F56" s="120">
        <f t="shared" si="6"/>
        <v>-8.5</v>
      </c>
      <c r="G56" s="123">
        <f t="shared" si="7"/>
        <v>-8.5</v>
      </c>
      <c r="H56" s="122">
        <f t="shared" si="8"/>
        <v>-14.875</v>
      </c>
      <c r="I56" s="125">
        <f t="shared" si="9"/>
        <v>-33.14705882352942</v>
      </c>
      <c r="J56" s="125">
        <f t="shared" si="10"/>
        <v>0.49306250000000013</v>
      </c>
    </row>
    <row r="57" spans="1:10" x14ac:dyDescent="0.2">
      <c r="A57" s="120">
        <f t="shared" si="1"/>
        <v>33</v>
      </c>
      <c r="B57" s="120">
        <f t="shared" si="2"/>
        <v>5</v>
      </c>
      <c r="C57" s="120">
        <f t="shared" si="3"/>
        <v>162.5</v>
      </c>
      <c r="D57" s="124">
        <f t="shared" si="4"/>
        <v>-1.0736754966887421E-3</v>
      </c>
      <c r="E57" s="123">
        <f t="shared" si="5"/>
        <v>0</v>
      </c>
      <c r="F57" s="120">
        <f t="shared" si="6"/>
        <v>-8.5</v>
      </c>
      <c r="G57" s="123">
        <f t="shared" si="7"/>
        <v>-8.5</v>
      </c>
      <c r="H57" s="122">
        <f t="shared" si="8"/>
        <v>-14.875</v>
      </c>
      <c r="I57" s="125">
        <f t="shared" si="9"/>
        <v>-38.14705882352942</v>
      </c>
      <c r="J57" s="125">
        <f t="shared" si="10"/>
        <v>0.56743750000000015</v>
      </c>
    </row>
    <row r="58" spans="1:10" x14ac:dyDescent="0.2">
      <c r="A58" s="120">
        <f t="shared" si="1"/>
        <v>34</v>
      </c>
      <c r="B58" s="120">
        <f t="shared" si="2"/>
        <v>5</v>
      </c>
      <c r="C58" s="120">
        <f t="shared" si="3"/>
        <v>167.5</v>
      </c>
      <c r="D58" s="124">
        <f t="shared" si="4"/>
        <v>-1.2144039735099341E-3</v>
      </c>
      <c r="E58" s="120">
        <f t="shared" si="5"/>
        <v>0</v>
      </c>
      <c r="F58" s="133">
        <f t="shared" si="6"/>
        <v>-8.5</v>
      </c>
      <c r="G58" s="133">
        <f t="shared" si="7"/>
        <v>-8.5</v>
      </c>
      <c r="H58" s="122">
        <f t="shared" si="8"/>
        <v>-14.875</v>
      </c>
      <c r="I58" s="125">
        <f t="shared" si="9"/>
        <v>-43.14705882352942</v>
      </c>
      <c r="J58" s="125">
        <f t="shared" si="10"/>
        <v>0.64181250000000012</v>
      </c>
    </row>
    <row r="59" spans="1:10" x14ac:dyDescent="0.2">
      <c r="A59" s="120">
        <f t="shared" si="1"/>
        <v>35</v>
      </c>
      <c r="B59" s="120">
        <f t="shared" si="2"/>
        <v>5</v>
      </c>
      <c r="C59" s="120">
        <f t="shared" si="3"/>
        <v>172.5</v>
      </c>
      <c r="D59" s="124">
        <f t="shared" si="4"/>
        <v>-1.3551324503311263E-3</v>
      </c>
      <c r="E59" s="120">
        <f t="shared" si="5"/>
        <v>0</v>
      </c>
      <c r="F59" s="120">
        <f t="shared" si="6"/>
        <v>-8.5</v>
      </c>
      <c r="G59" s="120">
        <f t="shared" si="7"/>
        <v>-8.5</v>
      </c>
      <c r="H59" s="120">
        <f t="shared" si="8"/>
        <v>-14.875</v>
      </c>
      <c r="I59" s="125">
        <f t="shared" si="9"/>
        <v>-48.14705882352942</v>
      </c>
      <c r="J59" s="125">
        <f t="shared" si="10"/>
        <v>0.71618750000000009</v>
      </c>
    </row>
    <row r="60" spans="1:10" x14ac:dyDescent="0.2">
      <c r="A60" s="120">
        <f t="shared" si="1"/>
        <v>36</v>
      </c>
      <c r="B60" s="120">
        <f t="shared" si="2"/>
        <v>5</v>
      </c>
      <c r="C60" s="120">
        <f t="shared" si="3"/>
        <v>177.5</v>
      </c>
      <c r="D60" s="124">
        <f t="shared" si="4"/>
        <v>-1.4958609271523181E-3</v>
      </c>
      <c r="E60" s="120">
        <f t="shared" si="5"/>
        <v>0</v>
      </c>
      <c r="F60" s="120">
        <f t="shared" si="6"/>
        <v>-8.5</v>
      </c>
      <c r="G60" s="120">
        <f t="shared" si="7"/>
        <v>-8.5</v>
      </c>
      <c r="H60" s="120">
        <f t="shared" si="8"/>
        <v>-14.875</v>
      </c>
      <c r="I60" s="125">
        <f t="shared" si="9"/>
        <v>-53.14705882352942</v>
      </c>
      <c r="J60" s="125">
        <f t="shared" si="10"/>
        <v>0.79056250000000017</v>
      </c>
    </row>
    <row r="61" spans="1:10" x14ac:dyDescent="0.2">
      <c r="A61" s="120">
        <f t="shared" si="1"/>
        <v>37</v>
      </c>
      <c r="B61" s="120">
        <f t="shared" si="2"/>
        <v>5</v>
      </c>
      <c r="C61" s="120">
        <f t="shared" si="3"/>
        <v>182.5</v>
      </c>
      <c r="D61" s="124">
        <f t="shared" si="4"/>
        <v>-1.6365894039735104E-3</v>
      </c>
      <c r="E61" s="120">
        <f t="shared" si="5"/>
        <v>0</v>
      </c>
      <c r="F61" s="120">
        <f t="shared" si="6"/>
        <v>-8.5</v>
      </c>
      <c r="G61" s="120">
        <f t="shared" si="7"/>
        <v>-8.5</v>
      </c>
      <c r="H61" s="120">
        <f t="shared" si="8"/>
        <v>-14.875</v>
      </c>
      <c r="I61" s="125">
        <f t="shared" si="9"/>
        <v>-58.14705882352942</v>
      </c>
      <c r="J61" s="125">
        <f t="shared" si="10"/>
        <v>0.86493750000000014</v>
      </c>
    </row>
    <row r="62" spans="1:10" x14ac:dyDescent="0.2">
      <c r="A62" s="120">
        <f t="shared" si="1"/>
        <v>38</v>
      </c>
      <c r="B62" s="120">
        <f t="shared" si="2"/>
        <v>5</v>
      </c>
      <c r="C62" s="120">
        <f t="shared" si="3"/>
        <v>187.5</v>
      </c>
      <c r="D62" s="124">
        <f t="shared" si="4"/>
        <v>-1.7773178807947024E-3</v>
      </c>
      <c r="E62" s="120">
        <f t="shared" si="5"/>
        <v>0</v>
      </c>
      <c r="F62" s="120">
        <f t="shared" si="6"/>
        <v>-8.5</v>
      </c>
      <c r="G62" s="120">
        <f t="shared" si="7"/>
        <v>-8.5</v>
      </c>
      <c r="H62" s="120">
        <f t="shared" si="8"/>
        <v>-14.875</v>
      </c>
      <c r="I62" s="125">
        <f t="shared" si="9"/>
        <v>-63.14705882352942</v>
      </c>
      <c r="J62" s="125">
        <f t="shared" si="10"/>
        <v>0.93931250000000011</v>
      </c>
    </row>
    <row r="63" spans="1:10" x14ac:dyDescent="0.2">
      <c r="A63" s="120">
        <f t="shared" si="1"/>
        <v>39</v>
      </c>
      <c r="B63" s="120">
        <f t="shared" si="2"/>
        <v>5</v>
      </c>
      <c r="C63" s="120">
        <f t="shared" si="3"/>
        <v>192.5</v>
      </c>
      <c r="D63" s="124">
        <f t="shared" si="4"/>
        <v>-1.9180463576158944E-3</v>
      </c>
      <c r="E63" s="120">
        <f t="shared" si="5"/>
        <v>0</v>
      </c>
      <c r="F63" s="120">
        <f t="shared" si="6"/>
        <v>-8.5</v>
      </c>
      <c r="G63" s="120">
        <f t="shared" si="7"/>
        <v>-8.5</v>
      </c>
      <c r="H63" s="120">
        <f t="shared" si="8"/>
        <v>-14.875</v>
      </c>
      <c r="I63" s="125">
        <f t="shared" si="9"/>
        <v>-68.14705882352942</v>
      </c>
      <c r="J63" s="125">
        <f t="shared" si="10"/>
        <v>1.0136875000000001</v>
      </c>
    </row>
    <row r="64" spans="1:10" x14ac:dyDescent="0.2">
      <c r="A64" s="120">
        <f t="shared" si="1"/>
        <v>40</v>
      </c>
      <c r="B64" s="120">
        <f t="shared" si="2"/>
        <v>5</v>
      </c>
      <c r="C64" s="120">
        <f t="shared" si="3"/>
        <v>197.5</v>
      </c>
      <c r="D64" s="124">
        <f t="shared" si="4"/>
        <v>-2.0587748344370865E-3</v>
      </c>
      <c r="E64" s="120">
        <f t="shared" si="5"/>
        <v>0</v>
      </c>
      <c r="F64" s="120">
        <f t="shared" si="6"/>
        <v>-8.5</v>
      </c>
      <c r="G64" s="120">
        <f t="shared" si="7"/>
        <v>-8.5</v>
      </c>
      <c r="H64" s="120">
        <f t="shared" si="8"/>
        <v>-14.875</v>
      </c>
      <c r="I64" s="125">
        <f t="shared" si="9"/>
        <v>-73.14705882352942</v>
      </c>
      <c r="J64" s="125">
        <f t="shared" si="10"/>
        <v>1.0880625000000002</v>
      </c>
    </row>
    <row r="65" spans="1:10" x14ac:dyDescent="0.2">
      <c r="A65" s="120">
        <f t="shared" si="1"/>
        <v>41</v>
      </c>
      <c r="B65" s="120">
        <f t="shared" si="2"/>
        <v>5</v>
      </c>
      <c r="C65" s="120">
        <f t="shared" si="3"/>
        <v>202.5</v>
      </c>
      <c r="D65" s="124">
        <f t="shared" si="4"/>
        <v>-2.1995033112582789E-3</v>
      </c>
      <c r="E65" s="120">
        <f t="shared" si="5"/>
        <v>0</v>
      </c>
      <c r="F65" s="120">
        <f t="shared" si="6"/>
        <v>-8.5</v>
      </c>
      <c r="G65" s="120">
        <f t="shared" si="7"/>
        <v>-8.5</v>
      </c>
      <c r="H65" s="120">
        <f t="shared" si="8"/>
        <v>-14.875</v>
      </c>
      <c r="I65" s="125">
        <f t="shared" si="9"/>
        <v>-78.14705882352942</v>
      </c>
      <c r="J65" s="125">
        <f t="shared" si="10"/>
        <v>1.1624375000000002</v>
      </c>
    </row>
    <row r="66" spans="1:10" x14ac:dyDescent="0.2">
      <c r="A66" s="120">
        <f t="shared" si="1"/>
        <v>42</v>
      </c>
      <c r="B66" s="120">
        <f t="shared" si="2"/>
        <v>5</v>
      </c>
      <c r="C66" s="120">
        <f t="shared" si="3"/>
        <v>207.5</v>
      </c>
      <c r="D66" s="124">
        <f t="shared" si="4"/>
        <v>-2.3402317880794705E-3</v>
      </c>
      <c r="E66" s="120">
        <f t="shared" si="5"/>
        <v>0</v>
      </c>
      <c r="F66" s="120">
        <f t="shared" si="6"/>
        <v>-8.5</v>
      </c>
      <c r="G66" s="120">
        <f t="shared" si="7"/>
        <v>-8.5</v>
      </c>
      <c r="H66" s="120">
        <f t="shared" si="8"/>
        <v>-14.875</v>
      </c>
      <c r="I66" s="125">
        <f t="shared" si="9"/>
        <v>-83.14705882352942</v>
      </c>
      <c r="J66" s="125">
        <f t="shared" si="10"/>
        <v>1.2368125000000003</v>
      </c>
    </row>
    <row r="67" spans="1:10" x14ac:dyDescent="0.2">
      <c r="A67" s="120">
        <f t="shared" si="1"/>
        <v>43</v>
      </c>
      <c r="B67" s="120">
        <f t="shared" si="2"/>
        <v>5</v>
      </c>
      <c r="C67" s="120">
        <f t="shared" si="3"/>
        <v>212.5</v>
      </c>
      <c r="D67" s="124">
        <f t="shared" si="4"/>
        <v>-2.4809602649006625E-3</v>
      </c>
      <c r="E67" s="120">
        <f t="shared" si="5"/>
        <v>0</v>
      </c>
      <c r="F67" s="120">
        <f t="shared" si="6"/>
        <v>-8.5</v>
      </c>
      <c r="G67" s="120">
        <f t="shared" si="7"/>
        <v>-8.5</v>
      </c>
      <c r="H67" s="120">
        <f t="shared" si="8"/>
        <v>-14.875</v>
      </c>
      <c r="I67" s="125">
        <f t="shared" si="9"/>
        <v>-88.14705882352942</v>
      </c>
      <c r="J67" s="125">
        <f t="shared" si="10"/>
        <v>1.3111875000000002</v>
      </c>
    </row>
    <row r="68" spans="1:10" x14ac:dyDescent="0.2">
      <c r="A68" s="120">
        <f t="shared" si="1"/>
        <v>44</v>
      </c>
      <c r="B68" s="120">
        <f t="shared" si="2"/>
        <v>5</v>
      </c>
      <c r="C68" s="120">
        <f t="shared" si="3"/>
        <v>217.5</v>
      </c>
      <c r="D68" s="124">
        <f t="shared" si="4"/>
        <v>-2.621688741721855E-3</v>
      </c>
      <c r="E68" s="120">
        <f t="shared" si="5"/>
        <v>0</v>
      </c>
      <c r="F68" s="120">
        <f t="shared" si="6"/>
        <v>-8.5</v>
      </c>
      <c r="G68" s="120">
        <f t="shared" si="7"/>
        <v>-8.5</v>
      </c>
      <c r="H68" s="120">
        <f t="shared" si="8"/>
        <v>-14.875</v>
      </c>
      <c r="I68" s="125">
        <f t="shared" si="9"/>
        <v>-93.14705882352942</v>
      </c>
      <c r="J68" s="125">
        <f t="shared" si="10"/>
        <v>1.3855625000000003</v>
      </c>
    </row>
    <row r="69" spans="1:10" x14ac:dyDescent="0.2">
      <c r="A69" s="120">
        <f t="shared" si="1"/>
        <v>45</v>
      </c>
      <c r="B69" s="120">
        <f t="shared" si="2"/>
        <v>5</v>
      </c>
      <c r="C69" s="120">
        <f t="shared" si="3"/>
        <v>222.5</v>
      </c>
      <c r="D69" s="124">
        <f t="shared" si="4"/>
        <v>-2.762417218543047E-3</v>
      </c>
      <c r="E69" s="120">
        <f t="shared" si="5"/>
        <v>0</v>
      </c>
      <c r="F69" s="120">
        <f t="shared" si="6"/>
        <v>-8.5</v>
      </c>
      <c r="G69" s="120">
        <f t="shared" si="7"/>
        <v>-8.5</v>
      </c>
      <c r="H69" s="120">
        <f t="shared" si="8"/>
        <v>-14.875</v>
      </c>
      <c r="I69" s="125">
        <f t="shared" si="9"/>
        <v>-98.14705882352942</v>
      </c>
      <c r="J69" s="125">
        <f t="shared" si="10"/>
        <v>1.4599375000000003</v>
      </c>
    </row>
    <row r="70" spans="1:10" x14ac:dyDescent="0.2">
      <c r="A70" s="120">
        <f t="shared" si="1"/>
        <v>46</v>
      </c>
      <c r="B70" s="120">
        <f t="shared" si="2"/>
        <v>5</v>
      </c>
      <c r="C70" s="120">
        <f t="shared" si="3"/>
        <v>227.5</v>
      </c>
      <c r="D70" s="124">
        <f t="shared" si="4"/>
        <v>-2.9031456953642386E-3</v>
      </c>
      <c r="E70" s="120">
        <f t="shared" si="5"/>
        <v>0</v>
      </c>
      <c r="F70" s="120">
        <f t="shared" si="6"/>
        <v>-8.5</v>
      </c>
      <c r="G70" s="120">
        <f t="shared" si="7"/>
        <v>-8.5</v>
      </c>
      <c r="H70" s="120">
        <f t="shared" si="8"/>
        <v>-14.875</v>
      </c>
      <c r="I70" s="125">
        <f t="shared" si="9"/>
        <v>-103.14705882352942</v>
      </c>
      <c r="J70" s="125">
        <f t="shared" si="10"/>
        <v>1.5343125000000002</v>
      </c>
    </row>
    <row r="71" spans="1:10" x14ac:dyDescent="0.2">
      <c r="A71" s="120">
        <f t="shared" si="1"/>
        <v>47</v>
      </c>
      <c r="B71" s="120">
        <f t="shared" si="2"/>
        <v>5</v>
      </c>
      <c r="C71" s="120">
        <f t="shared" si="3"/>
        <v>232.5</v>
      </c>
      <c r="D71" s="124">
        <f t="shared" si="4"/>
        <v>-3.0438741721854311E-3</v>
      </c>
      <c r="E71" s="120">
        <f t="shared" si="5"/>
        <v>0</v>
      </c>
      <c r="F71" s="120">
        <f t="shared" si="6"/>
        <v>-8.5</v>
      </c>
      <c r="G71" s="120">
        <f t="shared" si="7"/>
        <v>-8.5</v>
      </c>
      <c r="H71" s="120">
        <f t="shared" si="8"/>
        <v>-14.875</v>
      </c>
      <c r="I71" s="125">
        <f t="shared" si="9"/>
        <v>-108.14705882352942</v>
      </c>
      <c r="J71" s="125">
        <f t="shared" si="10"/>
        <v>1.6086875000000003</v>
      </c>
    </row>
    <row r="72" spans="1:10" x14ac:dyDescent="0.2">
      <c r="A72" s="120">
        <f t="shared" si="1"/>
        <v>48</v>
      </c>
      <c r="B72" s="120">
        <f t="shared" si="2"/>
        <v>5</v>
      </c>
      <c r="C72" s="120">
        <f t="shared" si="3"/>
        <v>237.5</v>
      </c>
      <c r="D72" s="124">
        <f t="shared" si="4"/>
        <v>-3.1846026490066231E-3</v>
      </c>
      <c r="E72" s="120">
        <f t="shared" si="5"/>
        <v>0</v>
      </c>
      <c r="F72" s="120">
        <f t="shared" si="6"/>
        <v>-8.5</v>
      </c>
      <c r="G72" s="120">
        <f t="shared" si="7"/>
        <v>-8.5</v>
      </c>
      <c r="H72" s="120">
        <f t="shared" si="8"/>
        <v>-14.875</v>
      </c>
      <c r="I72" s="125">
        <f t="shared" si="9"/>
        <v>-113.14705882352942</v>
      </c>
      <c r="J72" s="125">
        <f t="shared" si="10"/>
        <v>1.6830625000000001</v>
      </c>
    </row>
    <row r="73" spans="1:10" x14ac:dyDescent="0.2">
      <c r="A73" s="120">
        <f t="shared" si="1"/>
        <v>49</v>
      </c>
      <c r="B73" s="120">
        <f t="shared" si="2"/>
        <v>5</v>
      </c>
      <c r="C73" s="120">
        <f t="shared" si="3"/>
        <v>242.5</v>
      </c>
      <c r="D73" s="124">
        <f t="shared" si="4"/>
        <v>-3.3253311258278151E-3</v>
      </c>
      <c r="E73" s="120">
        <f t="shared" si="5"/>
        <v>0</v>
      </c>
      <c r="F73" s="120">
        <f t="shared" si="6"/>
        <v>-8.5</v>
      </c>
      <c r="G73" s="120">
        <f t="shared" si="7"/>
        <v>-8.5</v>
      </c>
      <c r="H73" s="120">
        <f t="shared" si="8"/>
        <v>-14.875</v>
      </c>
      <c r="I73" s="125">
        <f t="shared" si="9"/>
        <v>-118.14705882352942</v>
      </c>
      <c r="J73" s="125">
        <f t="shared" si="10"/>
        <v>1.7574375000000002</v>
      </c>
    </row>
    <row r="74" spans="1:10" x14ac:dyDescent="0.2">
      <c r="A74" s="120">
        <f t="shared" si="1"/>
        <v>50</v>
      </c>
      <c r="B74" s="120">
        <f t="shared" si="2"/>
        <v>5</v>
      </c>
      <c r="C74" s="120">
        <f t="shared" si="3"/>
        <v>247.5</v>
      </c>
      <c r="D74" s="124">
        <f t="shared" si="4"/>
        <v>-3.4660596026490072E-3</v>
      </c>
      <c r="E74" s="120">
        <f t="shared" si="5"/>
        <v>0</v>
      </c>
      <c r="F74" s="120">
        <f t="shared" si="6"/>
        <v>-8.5</v>
      </c>
      <c r="G74" s="120">
        <f t="shared" si="7"/>
        <v>-8.5</v>
      </c>
      <c r="H74" s="120">
        <f t="shared" si="8"/>
        <v>-14.875</v>
      </c>
      <c r="I74" s="125">
        <f t="shared" si="9"/>
        <v>-123.14705882352942</v>
      </c>
      <c r="J74" s="125">
        <f t="shared" si="10"/>
        <v>1.8318125000000003</v>
      </c>
    </row>
    <row r="75" spans="1:10" x14ac:dyDescent="0.2">
      <c r="A75" s="120">
        <f t="shared" si="1"/>
        <v>51</v>
      </c>
      <c r="B75" s="120">
        <f t="shared" si="2"/>
        <v>5</v>
      </c>
      <c r="C75" s="120">
        <f t="shared" si="3"/>
        <v>252.5</v>
      </c>
      <c r="D75" s="124">
        <f t="shared" si="4"/>
        <v>-3.6067880794701992E-3</v>
      </c>
      <c r="E75" s="120">
        <f t="shared" si="5"/>
        <v>0</v>
      </c>
      <c r="F75" s="120">
        <f t="shared" si="6"/>
        <v>-8.5</v>
      </c>
      <c r="G75" s="120">
        <f t="shared" si="7"/>
        <v>-8.5</v>
      </c>
      <c r="H75" s="120">
        <f t="shared" si="8"/>
        <v>-14.875</v>
      </c>
      <c r="I75" s="125">
        <f t="shared" si="9"/>
        <v>-128.14705882352942</v>
      </c>
      <c r="J75" s="125">
        <f t="shared" si="10"/>
        <v>1.9061875000000001</v>
      </c>
    </row>
    <row r="76" spans="1:10" x14ac:dyDescent="0.2">
      <c r="A76" s="120">
        <f t="shared" si="1"/>
        <v>52</v>
      </c>
      <c r="B76" s="120">
        <f t="shared" si="2"/>
        <v>5</v>
      </c>
      <c r="C76" s="120">
        <f t="shared" si="3"/>
        <v>257.5</v>
      </c>
      <c r="D76" s="124">
        <f t="shared" si="4"/>
        <v>-3.7475165562913916E-3</v>
      </c>
      <c r="E76" s="120">
        <f t="shared" si="5"/>
        <v>0</v>
      </c>
      <c r="F76" s="120">
        <f t="shared" si="6"/>
        <v>-8.5</v>
      </c>
      <c r="G76" s="120">
        <f t="shared" si="7"/>
        <v>-8.5</v>
      </c>
      <c r="H76" s="120">
        <f t="shared" si="8"/>
        <v>-14.875</v>
      </c>
      <c r="I76" s="125">
        <f t="shared" si="9"/>
        <v>-133.14705882352942</v>
      </c>
      <c r="J76" s="125">
        <f t="shared" si="10"/>
        <v>1.9805625000000002</v>
      </c>
    </row>
    <row r="77" spans="1:10" x14ac:dyDescent="0.2">
      <c r="A77" s="120">
        <f t="shared" si="1"/>
        <v>53</v>
      </c>
      <c r="B77" s="120">
        <f t="shared" si="2"/>
        <v>5</v>
      </c>
      <c r="C77" s="120">
        <f t="shared" si="3"/>
        <v>262.5</v>
      </c>
      <c r="D77" s="124">
        <f t="shared" si="4"/>
        <v>-3.8882450331125832E-3</v>
      </c>
      <c r="E77" s="120">
        <f t="shared" si="5"/>
        <v>0</v>
      </c>
      <c r="F77" s="120">
        <f t="shared" si="6"/>
        <v>-8.5</v>
      </c>
      <c r="G77" s="120">
        <f t="shared" si="7"/>
        <v>-8.5</v>
      </c>
      <c r="H77" s="120">
        <f t="shared" si="8"/>
        <v>-14.875</v>
      </c>
      <c r="I77" s="125">
        <f t="shared" si="9"/>
        <v>-138.14705882352942</v>
      </c>
      <c r="J77" s="125">
        <f t="shared" si="10"/>
        <v>2.0549374999999999</v>
      </c>
    </row>
    <row r="78" spans="1:10" x14ac:dyDescent="0.2">
      <c r="A78" s="120">
        <f t="shared" si="1"/>
        <v>54</v>
      </c>
      <c r="B78" s="120">
        <f t="shared" si="2"/>
        <v>5</v>
      </c>
      <c r="C78" s="120">
        <f t="shared" si="3"/>
        <v>267.5</v>
      </c>
      <c r="D78" s="124">
        <f t="shared" si="4"/>
        <v>-4.0289735099337757E-3</v>
      </c>
      <c r="E78" s="120">
        <f t="shared" si="5"/>
        <v>0</v>
      </c>
      <c r="F78" s="120">
        <f t="shared" si="6"/>
        <v>-8.5</v>
      </c>
      <c r="G78" s="120">
        <f t="shared" si="7"/>
        <v>-8.5</v>
      </c>
      <c r="H78" s="120">
        <f t="shared" si="8"/>
        <v>-14.875</v>
      </c>
      <c r="I78" s="125">
        <f t="shared" si="9"/>
        <v>-143.14705882352942</v>
      </c>
      <c r="J78" s="125">
        <f t="shared" si="10"/>
        <v>2.1293125000000002</v>
      </c>
    </row>
    <row r="79" spans="1:10" x14ac:dyDescent="0.2">
      <c r="A79" s="120">
        <f t="shared" si="1"/>
        <v>55</v>
      </c>
      <c r="B79" s="120">
        <f t="shared" si="2"/>
        <v>5</v>
      </c>
      <c r="C79" s="120">
        <f t="shared" si="3"/>
        <v>272.5</v>
      </c>
      <c r="D79" s="124">
        <f t="shared" si="4"/>
        <v>-4.1697019867549673E-3</v>
      </c>
      <c r="E79" s="120">
        <f t="shared" si="5"/>
        <v>0</v>
      </c>
      <c r="F79" s="120">
        <f t="shared" si="6"/>
        <v>-8.5</v>
      </c>
      <c r="G79" s="120">
        <f t="shared" si="7"/>
        <v>-8.5</v>
      </c>
      <c r="H79" s="120">
        <f t="shared" si="8"/>
        <v>-14.875</v>
      </c>
      <c r="I79" s="125">
        <f t="shared" si="9"/>
        <v>-148.14705882352942</v>
      </c>
      <c r="J79" s="125">
        <f t="shared" si="10"/>
        <v>2.2036875</v>
      </c>
    </row>
    <row r="80" spans="1:10" x14ac:dyDescent="0.2">
      <c r="A80" s="120">
        <f t="shared" si="1"/>
        <v>56</v>
      </c>
      <c r="B80" s="120">
        <f t="shared" si="2"/>
        <v>5</v>
      </c>
      <c r="C80" s="120">
        <f t="shared" si="3"/>
        <v>277.5</v>
      </c>
      <c r="D80" s="124">
        <f t="shared" si="4"/>
        <v>-4.3104304635761597E-3</v>
      </c>
      <c r="E80" s="120">
        <f t="shared" si="5"/>
        <v>0</v>
      </c>
      <c r="F80" s="120">
        <f t="shared" si="6"/>
        <v>-8.5</v>
      </c>
      <c r="G80" s="120">
        <f t="shared" si="7"/>
        <v>-8.5</v>
      </c>
      <c r="H80" s="120">
        <f t="shared" si="8"/>
        <v>-14.875</v>
      </c>
      <c r="I80" s="125">
        <f t="shared" si="9"/>
        <v>-153.14705882352942</v>
      </c>
      <c r="J80" s="125">
        <f t="shared" si="10"/>
        <v>2.2780624999999999</v>
      </c>
    </row>
    <row r="81" spans="1:10" x14ac:dyDescent="0.2">
      <c r="A81" s="120">
        <f t="shared" si="1"/>
        <v>57</v>
      </c>
      <c r="B81" s="120">
        <f t="shared" si="2"/>
        <v>5</v>
      </c>
      <c r="C81" s="120">
        <f t="shared" si="3"/>
        <v>282.5</v>
      </c>
      <c r="D81" s="124">
        <f t="shared" si="4"/>
        <v>-4.4511589403973513E-3</v>
      </c>
      <c r="E81" s="120">
        <f t="shared" si="5"/>
        <v>0</v>
      </c>
      <c r="F81" s="120">
        <f t="shared" si="6"/>
        <v>-8.5</v>
      </c>
      <c r="G81" s="120">
        <f t="shared" si="7"/>
        <v>-8.5</v>
      </c>
      <c r="H81" s="120">
        <f t="shared" si="8"/>
        <v>-14.875</v>
      </c>
      <c r="I81" s="125">
        <f t="shared" si="9"/>
        <v>-158.14705882352942</v>
      </c>
      <c r="J81" s="125">
        <f t="shared" si="10"/>
        <v>2.3524375000000002</v>
      </c>
    </row>
    <row r="82" spans="1:10" x14ac:dyDescent="0.2">
      <c r="A82" s="120">
        <f t="shared" si="1"/>
        <v>58</v>
      </c>
      <c r="B82" s="120">
        <f t="shared" si="2"/>
        <v>5</v>
      </c>
      <c r="C82" s="120">
        <f t="shared" si="3"/>
        <v>287.5</v>
      </c>
      <c r="D82" s="124">
        <f t="shared" si="4"/>
        <v>-4.5918874172185438E-3</v>
      </c>
      <c r="E82" s="120">
        <f t="shared" si="5"/>
        <v>0</v>
      </c>
      <c r="F82" s="120">
        <f t="shared" si="6"/>
        <v>0</v>
      </c>
      <c r="G82" s="120">
        <f t="shared" si="7"/>
        <v>0</v>
      </c>
      <c r="H82" s="120">
        <f t="shared" si="8"/>
        <v>0</v>
      </c>
      <c r="I82" s="125">
        <f t="shared" si="9"/>
        <v>-163.14705882352942</v>
      </c>
      <c r="J82" s="125">
        <f t="shared" si="10"/>
        <v>0</v>
      </c>
    </row>
    <row r="83" spans="1:10" x14ac:dyDescent="0.2">
      <c r="A83" s="120">
        <f t="shared" si="1"/>
        <v>59</v>
      </c>
      <c r="B83" s="120">
        <f t="shared" si="2"/>
        <v>5</v>
      </c>
      <c r="C83" s="120">
        <f t="shared" si="3"/>
        <v>292.5</v>
      </c>
      <c r="D83" s="124">
        <f t="shared" si="4"/>
        <v>-4.7326158940397363E-3</v>
      </c>
      <c r="E83" s="120">
        <f t="shared" si="5"/>
        <v>0</v>
      </c>
      <c r="F83" s="120">
        <f t="shared" si="6"/>
        <v>0</v>
      </c>
      <c r="G83" s="120">
        <f t="shared" si="7"/>
        <v>0</v>
      </c>
      <c r="H83" s="120">
        <f t="shared" si="8"/>
        <v>0</v>
      </c>
      <c r="I83" s="125">
        <f t="shared" si="9"/>
        <v>-168.14705882352942</v>
      </c>
      <c r="J83" s="125">
        <f t="shared" si="10"/>
        <v>0</v>
      </c>
    </row>
    <row r="84" spans="1:10" x14ac:dyDescent="0.2">
      <c r="A84" s="120">
        <f t="shared" si="1"/>
        <v>60</v>
      </c>
      <c r="B84" s="120">
        <f t="shared" si="2"/>
        <v>5</v>
      </c>
      <c r="C84" s="120">
        <f t="shared" si="3"/>
        <v>297.5</v>
      </c>
      <c r="D84" s="124">
        <f t="shared" si="4"/>
        <v>-4.8733443708609278E-3</v>
      </c>
      <c r="E84" s="120">
        <f t="shared" si="5"/>
        <v>0</v>
      </c>
      <c r="F84" s="120">
        <f t="shared" si="6"/>
        <v>0</v>
      </c>
      <c r="G84" s="120">
        <f t="shared" si="7"/>
        <v>0</v>
      </c>
      <c r="H84" s="120">
        <f t="shared" si="8"/>
        <v>0</v>
      </c>
      <c r="I84" s="125">
        <f t="shared" si="9"/>
        <v>-173.14705882352942</v>
      </c>
      <c r="J84" s="125">
        <f t="shared" si="10"/>
        <v>0</v>
      </c>
    </row>
    <row r="85" spans="1:10" x14ac:dyDescent="0.2">
      <c r="A85" s="120">
        <f t="shared" si="1"/>
        <v>61</v>
      </c>
      <c r="B85" s="120">
        <f t="shared" si="2"/>
        <v>5</v>
      </c>
      <c r="C85" s="120">
        <f t="shared" si="3"/>
        <v>302.5</v>
      </c>
      <c r="D85" s="124">
        <f t="shared" si="4"/>
        <v>-5.0140728476821203E-3</v>
      </c>
      <c r="E85" s="120">
        <f t="shared" si="5"/>
        <v>0</v>
      </c>
      <c r="F85" s="120">
        <f t="shared" si="6"/>
        <v>0</v>
      </c>
      <c r="G85" s="120">
        <f t="shared" si="7"/>
        <v>0</v>
      </c>
      <c r="H85" s="120">
        <f t="shared" si="8"/>
        <v>0</v>
      </c>
      <c r="I85" s="125">
        <f t="shared" si="9"/>
        <v>-178.14705882352942</v>
      </c>
      <c r="J85" s="125">
        <f t="shared" si="10"/>
        <v>0</v>
      </c>
    </row>
    <row r="86" spans="1:10" x14ac:dyDescent="0.2">
      <c r="A86" s="120">
        <f t="shared" si="1"/>
        <v>62</v>
      </c>
      <c r="B86" s="120">
        <f t="shared" si="2"/>
        <v>5</v>
      </c>
      <c r="C86" s="120">
        <f t="shared" si="3"/>
        <v>307.5</v>
      </c>
      <c r="D86" s="124">
        <f t="shared" si="4"/>
        <v>-5.1548013245033119E-3</v>
      </c>
      <c r="E86" s="120">
        <f t="shared" si="5"/>
        <v>0</v>
      </c>
      <c r="F86" s="120">
        <f t="shared" si="6"/>
        <v>0</v>
      </c>
      <c r="G86" s="120">
        <f t="shared" si="7"/>
        <v>0</v>
      </c>
      <c r="H86" s="120">
        <f t="shared" si="8"/>
        <v>0</v>
      </c>
      <c r="I86" s="125">
        <f t="shared" si="9"/>
        <v>-183.14705882352942</v>
      </c>
      <c r="J86" s="125">
        <f t="shared" si="10"/>
        <v>0</v>
      </c>
    </row>
    <row r="87" spans="1:10" x14ac:dyDescent="0.2">
      <c r="A87" s="120">
        <f t="shared" si="1"/>
        <v>63</v>
      </c>
      <c r="B87" s="120">
        <f t="shared" si="2"/>
        <v>5</v>
      </c>
      <c r="C87" s="120">
        <f t="shared" si="3"/>
        <v>312.5</v>
      </c>
      <c r="D87" s="124">
        <f t="shared" si="4"/>
        <v>-5.2955298013245035E-3</v>
      </c>
      <c r="E87" s="120">
        <f t="shared" si="5"/>
        <v>0</v>
      </c>
      <c r="F87" s="120">
        <f t="shared" si="6"/>
        <v>0</v>
      </c>
      <c r="G87" s="120">
        <f t="shared" si="7"/>
        <v>0</v>
      </c>
      <c r="H87" s="120">
        <f t="shared" si="8"/>
        <v>0</v>
      </c>
      <c r="I87" s="125">
        <f t="shared" si="9"/>
        <v>-188.14705882352942</v>
      </c>
      <c r="J87" s="125">
        <f t="shared" si="10"/>
        <v>0</v>
      </c>
    </row>
    <row r="88" spans="1:10" x14ac:dyDescent="0.2">
      <c r="A88" s="120">
        <f t="shared" si="1"/>
        <v>64</v>
      </c>
      <c r="B88" s="120">
        <f t="shared" si="2"/>
        <v>5</v>
      </c>
      <c r="C88" s="120">
        <f t="shared" si="3"/>
        <v>317.5</v>
      </c>
      <c r="D88" s="124">
        <f t="shared" si="4"/>
        <v>-5.4362582781456959E-3</v>
      </c>
      <c r="E88" s="120">
        <f t="shared" si="5"/>
        <v>0</v>
      </c>
      <c r="F88" s="120">
        <f t="shared" si="6"/>
        <v>0</v>
      </c>
      <c r="G88" s="120">
        <f t="shared" si="7"/>
        <v>0</v>
      </c>
      <c r="H88" s="120">
        <f t="shared" si="8"/>
        <v>0</v>
      </c>
      <c r="I88" s="125">
        <f t="shared" si="9"/>
        <v>-193.14705882352942</v>
      </c>
      <c r="J88" s="125">
        <f t="shared" si="10"/>
        <v>0</v>
      </c>
    </row>
    <row r="89" spans="1:10" x14ac:dyDescent="0.2">
      <c r="A89" s="120">
        <f t="shared" si="1"/>
        <v>65</v>
      </c>
      <c r="B89" s="120">
        <f t="shared" si="2"/>
        <v>5</v>
      </c>
      <c r="C89" s="120">
        <f t="shared" si="3"/>
        <v>322.5</v>
      </c>
      <c r="D89" s="124">
        <f t="shared" si="4"/>
        <v>-5.5769867549668884E-3</v>
      </c>
      <c r="E89" s="120">
        <f t="shared" si="5"/>
        <v>0</v>
      </c>
      <c r="F89" s="120">
        <f t="shared" si="6"/>
        <v>0</v>
      </c>
      <c r="G89" s="120">
        <f t="shared" si="7"/>
        <v>0</v>
      </c>
      <c r="H89" s="120">
        <f t="shared" si="8"/>
        <v>0</v>
      </c>
      <c r="I89" s="125">
        <f t="shared" si="9"/>
        <v>-198.14705882352942</v>
      </c>
      <c r="J89" s="125">
        <f t="shared" si="10"/>
        <v>0</v>
      </c>
    </row>
    <row r="90" spans="1:10" x14ac:dyDescent="0.2">
      <c r="A90" s="120">
        <f t="shared" si="1"/>
        <v>66</v>
      </c>
      <c r="B90" s="120">
        <f t="shared" si="2"/>
        <v>5</v>
      </c>
      <c r="C90" s="120">
        <f t="shared" si="3"/>
        <v>327.5</v>
      </c>
      <c r="D90" s="124">
        <f t="shared" si="4"/>
        <v>-5.71771523178808E-3</v>
      </c>
      <c r="E90" s="120">
        <f t="shared" si="5"/>
        <v>0</v>
      </c>
      <c r="F90" s="120">
        <f t="shared" si="6"/>
        <v>0</v>
      </c>
      <c r="G90" s="120">
        <f t="shared" si="7"/>
        <v>0</v>
      </c>
      <c r="H90" s="120">
        <f t="shared" si="8"/>
        <v>0</v>
      </c>
      <c r="I90" s="125">
        <f t="shared" si="9"/>
        <v>-203.14705882352942</v>
      </c>
      <c r="J90" s="125">
        <f t="shared" si="10"/>
        <v>0</v>
      </c>
    </row>
    <row r="91" spans="1:10" x14ac:dyDescent="0.2">
      <c r="A91" s="120">
        <f t="shared" si="1"/>
        <v>67</v>
      </c>
      <c r="B91" s="120">
        <f t="shared" si="2"/>
        <v>5</v>
      </c>
      <c r="C91" s="120">
        <f t="shared" si="3"/>
        <v>332.5</v>
      </c>
      <c r="D91" s="124">
        <f t="shared" si="4"/>
        <v>-5.8584437086092725E-3</v>
      </c>
      <c r="E91" s="120">
        <f t="shared" si="5"/>
        <v>0</v>
      </c>
      <c r="F91" s="120">
        <f t="shared" si="6"/>
        <v>0</v>
      </c>
      <c r="G91" s="120">
        <f t="shared" si="7"/>
        <v>0</v>
      </c>
      <c r="H91" s="120">
        <f t="shared" si="8"/>
        <v>0</v>
      </c>
      <c r="I91" s="125">
        <f t="shared" si="9"/>
        <v>-208.14705882352942</v>
      </c>
      <c r="J91" s="125">
        <f t="shared" si="10"/>
        <v>0</v>
      </c>
    </row>
    <row r="92" spans="1:10" x14ac:dyDescent="0.2">
      <c r="A92" s="120">
        <f t="shared" si="1"/>
        <v>68</v>
      </c>
      <c r="B92" s="120">
        <f t="shared" si="2"/>
        <v>5</v>
      </c>
      <c r="C92" s="120">
        <f t="shared" si="3"/>
        <v>337.5</v>
      </c>
      <c r="D92" s="124">
        <f t="shared" si="4"/>
        <v>-5.9991721854304641E-3</v>
      </c>
      <c r="E92" s="120">
        <f t="shared" si="5"/>
        <v>0</v>
      </c>
      <c r="F92" s="120">
        <f t="shared" si="6"/>
        <v>0</v>
      </c>
      <c r="G92" s="120">
        <f t="shared" si="7"/>
        <v>0</v>
      </c>
      <c r="H92" s="120">
        <f t="shared" si="8"/>
        <v>0</v>
      </c>
      <c r="I92" s="125">
        <f t="shared" si="9"/>
        <v>-213.14705882352942</v>
      </c>
      <c r="J92" s="125">
        <f t="shared" si="10"/>
        <v>0</v>
      </c>
    </row>
    <row r="93" spans="1:10" x14ac:dyDescent="0.2">
      <c r="A93" s="120">
        <f t="shared" si="1"/>
        <v>69</v>
      </c>
      <c r="B93" s="120">
        <f t="shared" si="2"/>
        <v>5</v>
      </c>
      <c r="C93" s="120">
        <f t="shared" si="3"/>
        <v>342.5</v>
      </c>
      <c r="D93" s="124">
        <f t="shared" si="4"/>
        <v>-6.1399006622516565E-3</v>
      </c>
      <c r="E93" s="120">
        <f t="shared" si="5"/>
        <v>0</v>
      </c>
      <c r="F93" s="120">
        <f t="shared" si="6"/>
        <v>0</v>
      </c>
      <c r="G93" s="120">
        <f t="shared" si="7"/>
        <v>0</v>
      </c>
      <c r="H93" s="120">
        <f t="shared" si="8"/>
        <v>0</v>
      </c>
      <c r="I93" s="125">
        <f t="shared" si="9"/>
        <v>-218.14705882352942</v>
      </c>
      <c r="J93" s="125">
        <f t="shared" si="10"/>
        <v>0</v>
      </c>
    </row>
    <row r="94" spans="1:10" x14ac:dyDescent="0.2">
      <c r="A94" s="103">
        <f t="shared" si="1"/>
        <v>70</v>
      </c>
      <c r="B94" s="103">
        <f t="shared" si="2"/>
        <v>5</v>
      </c>
      <c r="C94" s="103">
        <f t="shared" si="3"/>
        <v>347.5</v>
      </c>
      <c r="D94" s="134">
        <f t="shared" si="4"/>
        <v>-6.280629139072849E-3</v>
      </c>
      <c r="E94" s="103">
        <f t="shared" si="5"/>
        <v>0</v>
      </c>
      <c r="F94" s="103">
        <f t="shared" si="6"/>
        <v>0</v>
      </c>
      <c r="G94" s="103">
        <f t="shared" si="7"/>
        <v>0</v>
      </c>
      <c r="H94" s="103">
        <f t="shared" si="8"/>
        <v>0</v>
      </c>
      <c r="I94" s="135">
        <f t="shared" si="9"/>
        <v>-223.14705882352942</v>
      </c>
      <c r="J94" s="135">
        <f t="shared" si="10"/>
        <v>0</v>
      </c>
    </row>
    <row r="95" spans="1:10" x14ac:dyDescent="0.2">
      <c r="D95" s="136"/>
    </row>
  </sheetData>
  <mergeCells count="14">
    <mergeCell ref="F14:G14"/>
    <mergeCell ref="A15:B15"/>
    <mergeCell ref="A1:G1"/>
    <mergeCell ref="A2:B2"/>
    <mergeCell ref="C2:D2"/>
    <mergeCell ref="A6:B6"/>
    <mergeCell ref="F6:H6"/>
    <mergeCell ref="F7:G7"/>
    <mergeCell ref="F8:G8"/>
    <mergeCell ref="F9:G9"/>
    <mergeCell ref="F10:G10"/>
    <mergeCell ref="F11:G11"/>
    <mergeCell ref="F12:G12"/>
    <mergeCell ref="F13:G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95"/>
  <sheetViews>
    <sheetView workbookViewId="0"/>
  </sheetViews>
  <sheetFormatPr baseColWidth="10" defaultColWidth="12.5703125" defaultRowHeight="12.75" x14ac:dyDescent="0.2"/>
  <cols>
    <col min="10" max="10" width="16.7109375" customWidth="1"/>
    <col min="20" max="20" width="16.28515625" customWidth="1"/>
  </cols>
  <sheetData>
    <row r="1" spans="1:8" x14ac:dyDescent="0.2">
      <c r="A1" s="143" t="s">
        <v>0</v>
      </c>
      <c r="B1" s="144"/>
      <c r="C1" s="144"/>
      <c r="D1" s="144"/>
      <c r="E1" s="144"/>
      <c r="F1" s="144"/>
      <c r="G1" s="145"/>
    </row>
    <row r="2" spans="1:8" x14ac:dyDescent="0.2">
      <c r="A2" s="146" t="s">
        <v>1</v>
      </c>
      <c r="B2" s="145"/>
      <c r="C2" s="146" t="s">
        <v>2</v>
      </c>
      <c r="D2" s="152"/>
      <c r="E2" s="100" t="s">
        <v>95</v>
      </c>
      <c r="F2" s="101" t="s">
        <v>96</v>
      </c>
      <c r="G2" s="102" t="s">
        <v>20</v>
      </c>
    </row>
    <row r="3" spans="1:8" x14ac:dyDescent="0.2">
      <c r="A3" s="4" t="s">
        <v>3</v>
      </c>
      <c r="B3" s="5">
        <v>350</v>
      </c>
      <c r="C3" s="73" t="s">
        <v>4</v>
      </c>
      <c r="D3" s="74">
        <v>420</v>
      </c>
      <c r="E3" s="103" t="s">
        <v>97</v>
      </c>
      <c r="F3" s="104" t="s">
        <v>98</v>
      </c>
      <c r="G3" s="105">
        <v>38.146141352017203</v>
      </c>
    </row>
    <row r="4" spans="1:8" x14ac:dyDescent="0.2">
      <c r="A4" s="13" t="s">
        <v>6</v>
      </c>
      <c r="B4" s="14">
        <v>350</v>
      </c>
      <c r="C4" s="6" t="s">
        <v>7</v>
      </c>
      <c r="D4" s="7">
        <v>210</v>
      </c>
      <c r="E4" s="106" t="s">
        <v>99</v>
      </c>
      <c r="F4" s="107" t="s">
        <v>100</v>
      </c>
      <c r="G4" s="108">
        <v>5</v>
      </c>
    </row>
    <row r="5" spans="1:8" x14ac:dyDescent="0.2">
      <c r="A5" s="3" t="s">
        <v>9</v>
      </c>
      <c r="B5" s="19">
        <v>30</v>
      </c>
      <c r="C5" s="6" t="s">
        <v>10</v>
      </c>
      <c r="D5" s="20">
        <f>(D3)/(D4*1000)</f>
        <v>2E-3</v>
      </c>
    </row>
    <row r="6" spans="1:8" x14ac:dyDescent="0.2">
      <c r="A6" s="146" t="s">
        <v>12</v>
      </c>
      <c r="B6" s="145"/>
      <c r="C6" s="6" t="s">
        <v>13</v>
      </c>
      <c r="D6" s="7">
        <v>4</v>
      </c>
      <c r="F6" s="160" t="s">
        <v>51</v>
      </c>
      <c r="G6" s="144"/>
      <c r="H6" s="145"/>
    </row>
    <row r="7" spans="1:8" x14ac:dyDescent="0.2">
      <c r="A7" s="4" t="s">
        <v>15</v>
      </c>
      <c r="B7" s="25">
        <v>130</v>
      </c>
      <c r="C7" s="6" t="s">
        <v>16</v>
      </c>
      <c r="D7" s="7">
        <v>2</v>
      </c>
      <c r="F7" s="161" t="s">
        <v>82</v>
      </c>
      <c r="G7" s="162"/>
      <c r="H7" s="109">
        <f>SUMIF(H25:H94,"&gt;0",H25:H94)</f>
        <v>962.14092318223118</v>
      </c>
    </row>
    <row r="8" spans="1:8" x14ac:dyDescent="0.2">
      <c r="A8" s="4" t="s">
        <v>87</v>
      </c>
      <c r="B8" s="77">
        <v>8.5</v>
      </c>
      <c r="C8" s="6" t="s">
        <v>19</v>
      </c>
      <c r="D8" s="7">
        <v>2</v>
      </c>
      <c r="F8" s="159" t="s">
        <v>83</v>
      </c>
      <c r="G8" s="149"/>
      <c r="H8" s="110">
        <f>SUMIF(H25:H94,"&lt;0",H25:H94)</f>
        <v>-133.875</v>
      </c>
    </row>
    <row r="9" spans="1:8" x14ac:dyDescent="0.2">
      <c r="A9" s="13" t="s">
        <v>88</v>
      </c>
      <c r="B9" s="6">
        <f>9115*1*(B7)^0.33</f>
        <v>45431.594485129361</v>
      </c>
      <c r="C9" s="6" t="s">
        <v>22</v>
      </c>
      <c r="D9" s="7">
        <v>4</v>
      </c>
      <c r="F9" s="159" t="s">
        <v>84</v>
      </c>
      <c r="G9" s="149"/>
      <c r="H9" s="111">
        <f>SUM(R25:R28)</f>
        <v>-828.26592341919627</v>
      </c>
    </row>
    <row r="10" spans="1:8" x14ac:dyDescent="0.2">
      <c r="A10" s="13" t="s">
        <v>89</v>
      </c>
      <c r="B10" s="78">
        <v>0.85</v>
      </c>
      <c r="C10" s="6" t="s">
        <v>27</v>
      </c>
      <c r="D10" s="7">
        <v>16</v>
      </c>
      <c r="F10" s="159" t="s">
        <v>85</v>
      </c>
      <c r="G10" s="149"/>
      <c r="H10" s="137">
        <f>H7+H8+H9</f>
        <v>-2.3696509288129164E-7</v>
      </c>
    </row>
    <row r="11" spans="1:8" x14ac:dyDescent="0.2">
      <c r="A11" s="3" t="s">
        <v>24</v>
      </c>
      <c r="B11" s="79">
        <v>3.5000000000000001E-3</v>
      </c>
      <c r="C11" s="6" t="s">
        <v>30</v>
      </c>
      <c r="D11" s="7">
        <v>16</v>
      </c>
      <c r="F11" s="159" t="s">
        <v>101</v>
      </c>
      <c r="G11" s="149"/>
      <c r="H11" s="112">
        <f>SUM(J25:J94)</f>
        <v>26.835288911139262</v>
      </c>
    </row>
    <row r="12" spans="1:8" x14ac:dyDescent="0.2">
      <c r="A12" s="3" t="s">
        <v>91</v>
      </c>
      <c r="B12" s="79">
        <v>4.4999999999999997E-3</v>
      </c>
      <c r="C12" s="6" t="s">
        <v>33</v>
      </c>
      <c r="D12" s="7">
        <v>16</v>
      </c>
      <c r="F12" s="159" t="s">
        <v>102</v>
      </c>
      <c r="G12" s="149"/>
      <c r="H12" s="111">
        <f>SUM(T25:T28)</f>
        <v>136.85733537773802</v>
      </c>
    </row>
    <row r="13" spans="1:8" x14ac:dyDescent="0.2">
      <c r="A13" s="3" t="s">
        <v>92</v>
      </c>
      <c r="B13" s="80">
        <f>B10*B7/B9</f>
        <v>2.4322280838320297E-3</v>
      </c>
      <c r="C13" s="6" t="s">
        <v>36</v>
      </c>
      <c r="D13" s="7">
        <v>16</v>
      </c>
      <c r="F13" s="159" t="s">
        <v>103</v>
      </c>
      <c r="G13" s="149"/>
      <c r="H13" s="112">
        <f>H11+H12</f>
        <v>163.69262428887728</v>
      </c>
    </row>
    <row r="14" spans="1:8" x14ac:dyDescent="0.2">
      <c r="A14" s="3" t="s">
        <v>93</v>
      </c>
      <c r="B14" s="81">
        <f>B8/B9</f>
        <v>1.8709446798707922E-4</v>
      </c>
      <c r="C14" s="6" t="s">
        <v>42</v>
      </c>
      <c r="D14" s="34">
        <f>B5+10+D10/2</f>
        <v>48</v>
      </c>
      <c r="F14" s="159" t="s">
        <v>86</v>
      </c>
      <c r="G14" s="149"/>
      <c r="H14" s="112">
        <f>H13+H10*($B$4/2-$G$3)/1000</f>
        <v>163.69262425644769</v>
      </c>
    </row>
    <row r="15" spans="1:8" x14ac:dyDescent="0.2">
      <c r="A15" s="146" t="s">
        <v>26</v>
      </c>
      <c r="B15" s="145"/>
      <c r="C15" s="33" t="s">
        <v>45</v>
      </c>
      <c r="D15" s="34">
        <f>D14+((D17-D14)/3)</f>
        <v>132.66666666666669</v>
      </c>
    </row>
    <row r="16" spans="1:8" x14ac:dyDescent="0.2">
      <c r="A16" s="73" t="s">
        <v>29</v>
      </c>
      <c r="B16" s="82">
        <f>B4*B3</f>
        <v>122500</v>
      </c>
      <c r="C16" s="6" t="s">
        <v>47</v>
      </c>
      <c r="D16" s="34">
        <f>D14+(2*(D17-D14)/3)</f>
        <v>217.33333333333334</v>
      </c>
    </row>
    <row r="17" spans="1:20" x14ac:dyDescent="0.2">
      <c r="A17" s="6" t="s">
        <v>32</v>
      </c>
      <c r="B17" s="33">
        <f t="shared" ref="B17:B20" si="0">(PI()/4)*(D10^2)*D6</f>
        <v>804.24771931898704</v>
      </c>
      <c r="C17" s="6" t="s">
        <v>48</v>
      </c>
      <c r="D17" s="34">
        <f>350-B5-10-D13/2</f>
        <v>302</v>
      </c>
    </row>
    <row r="18" spans="1:20" x14ac:dyDescent="0.2">
      <c r="A18" s="6" t="s">
        <v>35</v>
      </c>
      <c r="B18" s="33">
        <f t="shared" si="0"/>
        <v>402.12385965949352</v>
      </c>
    </row>
    <row r="19" spans="1:20" x14ac:dyDescent="0.2">
      <c r="A19" s="6" t="s">
        <v>38</v>
      </c>
      <c r="B19" s="33">
        <f t="shared" si="0"/>
        <v>402.12385965949352</v>
      </c>
    </row>
    <row r="20" spans="1:20" x14ac:dyDescent="0.2">
      <c r="A20" s="6" t="s">
        <v>41</v>
      </c>
      <c r="B20" s="33">
        <f t="shared" si="0"/>
        <v>804.24771931898704</v>
      </c>
    </row>
    <row r="21" spans="1:20" x14ac:dyDescent="0.2">
      <c r="A21" s="6" t="s">
        <v>46</v>
      </c>
      <c r="B21" s="33">
        <f>B17+B18+B19+B20</f>
        <v>2412.7431579569611</v>
      </c>
    </row>
    <row r="24" spans="1:20" x14ac:dyDescent="0.2">
      <c r="A24" s="106" t="s">
        <v>104</v>
      </c>
      <c r="B24" s="106" t="s">
        <v>100</v>
      </c>
      <c r="C24" s="106" t="s">
        <v>105</v>
      </c>
      <c r="D24" s="106" t="s">
        <v>106</v>
      </c>
      <c r="E24" s="106" t="s">
        <v>107</v>
      </c>
      <c r="F24" s="106" t="s">
        <v>108</v>
      </c>
      <c r="G24" s="106" t="s">
        <v>109</v>
      </c>
      <c r="H24" s="106" t="s">
        <v>110</v>
      </c>
      <c r="I24" s="106" t="s">
        <v>111</v>
      </c>
      <c r="J24" s="106" t="s">
        <v>101</v>
      </c>
      <c r="L24" s="113" t="s">
        <v>112</v>
      </c>
      <c r="M24" s="114" t="s">
        <v>113</v>
      </c>
      <c r="N24" s="114" t="s">
        <v>114</v>
      </c>
      <c r="O24" s="114" t="s">
        <v>65</v>
      </c>
      <c r="P24" s="114" t="s">
        <v>115</v>
      </c>
      <c r="Q24" s="114" t="s">
        <v>116</v>
      </c>
      <c r="R24" s="114" t="s">
        <v>117</v>
      </c>
      <c r="S24" s="114" t="s">
        <v>118</v>
      </c>
      <c r="T24" s="115" t="s">
        <v>102</v>
      </c>
    </row>
    <row r="25" spans="1:20" x14ac:dyDescent="0.2">
      <c r="A25" s="116">
        <f t="shared" ref="A25:A94" si="1">ROW()-24</f>
        <v>1</v>
      </c>
      <c r="B25" s="116">
        <f t="shared" ref="B25:B94" si="2">$G$4</f>
        <v>5</v>
      </c>
      <c r="C25" s="116">
        <f t="shared" ref="C25:C94" si="3">(A25-0.5)*$G$4</f>
        <v>2.5</v>
      </c>
      <c r="D25" s="117">
        <f t="shared" ref="D25:D94" si="4">$B$11*($G$3-C25)/$G$3</f>
        <v>3.2706190012967776E-3</v>
      </c>
      <c r="E25" s="116">
        <f t="shared" ref="E25:E94" si="5">IF(D25&gt;=0,MIN($B$9*D25,$B$10*$B$7),0)</f>
        <v>110.5</v>
      </c>
      <c r="F25" s="116">
        <f t="shared" ref="F25:F94" si="6">IF(D25&lt;0,IF(ABS(D25)&lt;=$B$12,-MIN($B$9*ABS(D25),$B$8),0),0)</f>
        <v>0</v>
      </c>
      <c r="G25" s="116">
        <f t="shared" ref="G25:G94" si="7">E25+F25</f>
        <v>110.5</v>
      </c>
      <c r="H25" s="116">
        <f t="shared" ref="H25:H94" si="8">G25*$B$3*B25/1000</f>
        <v>193.375</v>
      </c>
      <c r="I25" s="119">
        <f t="shared" ref="I25:I94" si="9">$G$3-C25</f>
        <v>35.646141352017203</v>
      </c>
      <c r="J25" s="119">
        <f t="shared" ref="J25:J94" si="10">H25*I25/1000</f>
        <v>6.8930725839463269</v>
      </c>
      <c r="L25" s="120">
        <f>1</f>
        <v>1</v>
      </c>
      <c r="M25" s="121">
        <f t="shared" ref="M25:M28" si="11">D6</f>
        <v>4</v>
      </c>
      <c r="N25" s="122">
        <f t="shared" ref="N25:N28" si="12">B17</f>
        <v>804.24771931898704</v>
      </c>
      <c r="O25" s="123">
        <f t="shared" ref="O25:O28" si="13">D14</f>
        <v>48</v>
      </c>
      <c r="P25" s="124">
        <f t="shared" ref="P25:P28" si="14">$B$11*($G$3-O25)/$G$3</f>
        <v>-9.0411517510187195E-4</v>
      </c>
      <c r="Q25" s="121">
        <f t="shared" ref="Q25:Q28" si="15">MAX(-$D$3,MIN($D$3,$D$4*1000*P25))</f>
        <v>-189.86418677139312</v>
      </c>
      <c r="R25" s="122">
        <f t="shared" ref="R25:R28" si="16">Q25*N25/1000</f>
        <v>-152.69783919124708</v>
      </c>
      <c r="S25" s="123">
        <f t="shared" ref="S25:S28" si="17">$G$3-O25</f>
        <v>-9.853858647982797</v>
      </c>
      <c r="T25" s="122">
        <f t="shared" ref="T25:T28" si="18">R25*S25/1000</f>
        <v>1.5046629232429567</v>
      </c>
    </row>
    <row r="26" spans="1:20" x14ac:dyDescent="0.2">
      <c r="A26" s="120">
        <f t="shared" si="1"/>
        <v>2</v>
      </c>
      <c r="B26" s="120">
        <f t="shared" si="2"/>
        <v>5</v>
      </c>
      <c r="C26" s="120">
        <f t="shared" si="3"/>
        <v>7.5</v>
      </c>
      <c r="D26" s="124">
        <f t="shared" si="4"/>
        <v>2.8118570038903326E-3</v>
      </c>
      <c r="E26" s="120">
        <f t="shared" si="5"/>
        <v>110.5</v>
      </c>
      <c r="F26" s="120">
        <f t="shared" si="6"/>
        <v>0</v>
      </c>
      <c r="G26" s="120">
        <f t="shared" si="7"/>
        <v>110.5</v>
      </c>
      <c r="H26" s="120">
        <f t="shared" si="8"/>
        <v>193.375</v>
      </c>
      <c r="I26" s="125">
        <f t="shared" si="9"/>
        <v>30.646141352017203</v>
      </c>
      <c r="J26" s="125">
        <f t="shared" si="10"/>
        <v>5.926197583946327</v>
      </c>
      <c r="L26" s="120">
        <f>2</f>
        <v>2</v>
      </c>
      <c r="M26" s="121">
        <f t="shared" si="11"/>
        <v>2</v>
      </c>
      <c r="N26" s="122">
        <f t="shared" si="12"/>
        <v>402.12385965949352</v>
      </c>
      <c r="O26" s="123">
        <f t="shared" si="13"/>
        <v>132.66666666666669</v>
      </c>
      <c r="P26" s="126">
        <f t="shared" si="14"/>
        <v>-8.6724849978510096E-3</v>
      </c>
      <c r="Q26" s="121">
        <f t="shared" si="15"/>
        <v>-420</v>
      </c>
      <c r="R26" s="122">
        <f t="shared" si="16"/>
        <v>-168.89202105698729</v>
      </c>
      <c r="S26" s="123">
        <f t="shared" si="17"/>
        <v>-94.52052531464949</v>
      </c>
      <c r="T26" s="122">
        <f t="shared" si="18"/>
        <v>15.963762551759283</v>
      </c>
    </row>
    <row r="27" spans="1:20" x14ac:dyDescent="0.2">
      <c r="A27" s="120">
        <f t="shared" si="1"/>
        <v>3</v>
      </c>
      <c r="B27" s="120">
        <f t="shared" si="2"/>
        <v>5</v>
      </c>
      <c r="C27" s="120">
        <f t="shared" si="3"/>
        <v>12.5</v>
      </c>
      <c r="D27" s="124">
        <f t="shared" si="4"/>
        <v>2.3530950064838876E-3</v>
      </c>
      <c r="E27" s="133">
        <f t="shared" si="5"/>
        <v>106.90485811955882</v>
      </c>
      <c r="F27" s="120">
        <f t="shared" si="6"/>
        <v>0</v>
      </c>
      <c r="G27" s="133">
        <f t="shared" si="7"/>
        <v>106.90485811955882</v>
      </c>
      <c r="H27" s="122">
        <f t="shared" si="8"/>
        <v>187.0835017092279</v>
      </c>
      <c r="I27" s="125">
        <f t="shared" si="9"/>
        <v>25.646141352017203</v>
      </c>
      <c r="J27" s="125">
        <f t="shared" si="10"/>
        <v>4.7979699294652107</v>
      </c>
      <c r="L27" s="120">
        <v>3</v>
      </c>
      <c r="M27" s="121">
        <f t="shared" si="11"/>
        <v>2</v>
      </c>
      <c r="N27" s="122">
        <f t="shared" si="12"/>
        <v>402.12385965949352</v>
      </c>
      <c r="O27" s="123">
        <f t="shared" si="13"/>
        <v>217.33333333333334</v>
      </c>
      <c r="P27" s="126">
        <f t="shared" si="14"/>
        <v>-1.6440854820600145E-2</v>
      </c>
      <c r="Q27" s="121">
        <f t="shared" si="15"/>
        <v>-420</v>
      </c>
      <c r="R27" s="122">
        <f t="shared" si="16"/>
        <v>-168.89202105698729</v>
      </c>
      <c r="S27" s="123">
        <f t="shared" si="17"/>
        <v>-179.18719198131615</v>
      </c>
      <c r="T27" s="122">
        <f t="shared" si="18"/>
        <v>30.263287001250873</v>
      </c>
    </row>
    <row r="28" spans="1:20" x14ac:dyDescent="0.2">
      <c r="A28" s="120">
        <f t="shared" si="1"/>
        <v>4</v>
      </c>
      <c r="B28" s="120">
        <f t="shared" si="2"/>
        <v>5</v>
      </c>
      <c r="C28" s="120">
        <f t="shared" si="3"/>
        <v>17.5</v>
      </c>
      <c r="D28" s="124">
        <f t="shared" si="4"/>
        <v>1.8943330090774426E-3</v>
      </c>
      <c r="E28" s="133">
        <f t="shared" si="5"/>
        <v>86.062569088201244</v>
      </c>
      <c r="F28" s="120">
        <f t="shared" si="6"/>
        <v>0</v>
      </c>
      <c r="G28" s="133">
        <f t="shared" si="7"/>
        <v>86.062569088201244</v>
      </c>
      <c r="H28" s="122">
        <f t="shared" si="8"/>
        <v>150.60949590435217</v>
      </c>
      <c r="I28" s="125">
        <f t="shared" si="9"/>
        <v>20.646141352017203</v>
      </c>
      <c r="J28" s="125">
        <f t="shared" si="10"/>
        <v>3.109504941397311</v>
      </c>
      <c r="L28" s="103">
        <v>4</v>
      </c>
      <c r="M28" s="127">
        <f t="shared" si="11"/>
        <v>4</v>
      </c>
      <c r="N28" s="128">
        <f t="shared" si="12"/>
        <v>804.24771931898704</v>
      </c>
      <c r="O28" s="129">
        <f t="shared" si="13"/>
        <v>302</v>
      </c>
      <c r="P28" s="103">
        <f t="shared" si="14"/>
        <v>-2.4209224643349278E-2</v>
      </c>
      <c r="Q28" s="127">
        <f t="shared" si="15"/>
        <v>-420</v>
      </c>
      <c r="R28" s="128">
        <f t="shared" si="16"/>
        <v>-337.78404211397458</v>
      </c>
      <c r="S28" s="129">
        <f t="shared" si="17"/>
        <v>-263.8538586479828</v>
      </c>
      <c r="T28" s="128">
        <f t="shared" si="18"/>
        <v>89.125622901484917</v>
      </c>
    </row>
    <row r="29" spans="1:20" x14ac:dyDescent="0.2">
      <c r="A29" s="120">
        <f t="shared" si="1"/>
        <v>5</v>
      </c>
      <c r="B29" s="120">
        <f t="shared" si="2"/>
        <v>5</v>
      </c>
      <c r="C29" s="120">
        <f t="shared" si="3"/>
        <v>22.5</v>
      </c>
      <c r="D29" s="124">
        <f t="shared" si="4"/>
        <v>1.4355710116709976E-3</v>
      </c>
      <c r="E29" s="133">
        <f t="shared" si="5"/>
        <v>65.220280056843677</v>
      </c>
      <c r="F29" s="120">
        <f t="shared" si="6"/>
        <v>0</v>
      </c>
      <c r="G29" s="133">
        <f t="shared" si="7"/>
        <v>65.220280056843677</v>
      </c>
      <c r="H29" s="122">
        <f t="shared" si="8"/>
        <v>114.13549009947643</v>
      </c>
      <c r="I29" s="125">
        <f t="shared" si="9"/>
        <v>15.646141352017203</v>
      </c>
      <c r="J29" s="125">
        <f t="shared" si="10"/>
        <v>1.7857800113781681</v>
      </c>
      <c r="R29" s="130"/>
    </row>
    <row r="30" spans="1:20" x14ac:dyDescent="0.2">
      <c r="A30" s="120">
        <f t="shared" si="1"/>
        <v>6</v>
      </c>
      <c r="B30" s="120">
        <f t="shared" si="2"/>
        <v>5</v>
      </c>
      <c r="C30" s="120">
        <f t="shared" si="3"/>
        <v>27.5</v>
      </c>
      <c r="D30" s="124">
        <f t="shared" si="4"/>
        <v>9.7680901426455257E-4</v>
      </c>
      <c r="E30" s="133">
        <f t="shared" si="5"/>
        <v>44.377991025486097</v>
      </c>
      <c r="F30" s="120">
        <f t="shared" si="6"/>
        <v>0</v>
      </c>
      <c r="G30" s="133">
        <f t="shared" si="7"/>
        <v>44.377991025486097</v>
      </c>
      <c r="H30" s="122">
        <f t="shared" si="8"/>
        <v>77.661484294600669</v>
      </c>
      <c r="I30" s="125">
        <f t="shared" si="9"/>
        <v>10.646141352017203</v>
      </c>
      <c r="J30" s="125">
        <f t="shared" si="10"/>
        <v>0.82679513940778271</v>
      </c>
    </row>
    <row r="31" spans="1:20" x14ac:dyDescent="0.2">
      <c r="A31" s="120">
        <f t="shared" si="1"/>
        <v>7</v>
      </c>
      <c r="B31" s="120">
        <f t="shared" si="2"/>
        <v>5</v>
      </c>
      <c r="C31" s="120">
        <f t="shared" si="3"/>
        <v>32.5</v>
      </c>
      <c r="D31" s="124">
        <f t="shared" si="4"/>
        <v>5.1804701685810757E-4</v>
      </c>
      <c r="E31" s="133">
        <f t="shared" si="5"/>
        <v>23.535701994128516</v>
      </c>
      <c r="F31" s="120">
        <f t="shared" si="6"/>
        <v>0</v>
      </c>
      <c r="G31" s="133">
        <f t="shared" si="7"/>
        <v>23.535701994128516</v>
      </c>
      <c r="H31" s="122">
        <f t="shared" si="8"/>
        <v>41.187478489724896</v>
      </c>
      <c r="I31" s="125">
        <f t="shared" si="9"/>
        <v>5.646141352017203</v>
      </c>
      <c r="J31" s="125">
        <f t="shared" si="10"/>
        <v>0.23255032548615479</v>
      </c>
    </row>
    <row r="32" spans="1:20" x14ac:dyDescent="0.2">
      <c r="A32" s="120">
        <f t="shared" si="1"/>
        <v>8</v>
      </c>
      <c r="B32" s="120">
        <f t="shared" si="2"/>
        <v>5</v>
      </c>
      <c r="C32" s="120">
        <f t="shared" si="3"/>
        <v>37.5</v>
      </c>
      <c r="D32" s="124">
        <f t="shared" si="4"/>
        <v>5.9285019451662597E-5</v>
      </c>
      <c r="E32" s="133">
        <f t="shared" si="5"/>
        <v>2.6934129627709411</v>
      </c>
      <c r="F32" s="120">
        <f t="shared" si="6"/>
        <v>0</v>
      </c>
      <c r="G32" s="133">
        <f t="shared" si="7"/>
        <v>2.6934129627709411</v>
      </c>
      <c r="H32" s="122">
        <f t="shared" si="8"/>
        <v>4.7134726848491475</v>
      </c>
      <c r="I32" s="125">
        <f t="shared" si="9"/>
        <v>0.64614135201720302</v>
      </c>
      <c r="J32" s="125">
        <f t="shared" si="10"/>
        <v>3.0455696132845838E-3</v>
      </c>
    </row>
    <row r="33" spans="1:19" x14ac:dyDescent="0.2">
      <c r="A33" s="120">
        <f t="shared" si="1"/>
        <v>9</v>
      </c>
      <c r="B33" s="120">
        <f t="shared" si="2"/>
        <v>5</v>
      </c>
      <c r="C33" s="120">
        <f t="shared" si="3"/>
        <v>42.5</v>
      </c>
      <c r="D33" s="124">
        <f t="shared" si="4"/>
        <v>-3.9947697795478238E-4</v>
      </c>
      <c r="E33" s="123">
        <f t="shared" si="5"/>
        <v>0</v>
      </c>
      <c r="F33" s="121">
        <f t="shared" si="6"/>
        <v>-8.5</v>
      </c>
      <c r="G33" s="123">
        <f t="shared" si="7"/>
        <v>-8.5</v>
      </c>
      <c r="H33" s="123">
        <f t="shared" si="8"/>
        <v>-14.875</v>
      </c>
      <c r="I33" s="125">
        <f t="shared" si="9"/>
        <v>-4.353858647982797</v>
      </c>
      <c r="J33" s="125">
        <f t="shared" si="10"/>
        <v>6.47636473887441E-2</v>
      </c>
    </row>
    <row r="34" spans="1:19" x14ac:dyDescent="0.2">
      <c r="A34" s="120">
        <f t="shared" si="1"/>
        <v>10</v>
      </c>
      <c r="B34" s="120">
        <f t="shared" si="2"/>
        <v>5</v>
      </c>
      <c r="C34" s="120">
        <f t="shared" si="3"/>
        <v>47.5</v>
      </c>
      <c r="D34" s="124">
        <f t="shared" si="4"/>
        <v>-8.5823897536122743E-4</v>
      </c>
      <c r="E34" s="123">
        <f t="shared" si="5"/>
        <v>0</v>
      </c>
      <c r="F34" s="121">
        <f t="shared" si="6"/>
        <v>-8.5</v>
      </c>
      <c r="G34" s="123">
        <f t="shared" si="7"/>
        <v>-8.5</v>
      </c>
      <c r="H34" s="123">
        <f t="shared" si="8"/>
        <v>-14.875</v>
      </c>
      <c r="I34" s="125">
        <f t="shared" si="9"/>
        <v>-9.353858647982797</v>
      </c>
      <c r="J34" s="125">
        <f t="shared" si="10"/>
        <v>0.13913864738874412</v>
      </c>
      <c r="M34" s="131"/>
      <c r="N34" s="130"/>
      <c r="O34" s="132"/>
      <c r="Q34" s="131"/>
      <c r="S34" s="132"/>
    </row>
    <row r="35" spans="1:19" x14ac:dyDescent="0.2">
      <c r="A35" s="120">
        <f t="shared" si="1"/>
        <v>11</v>
      </c>
      <c r="B35" s="120">
        <f t="shared" si="2"/>
        <v>5</v>
      </c>
      <c r="C35" s="120">
        <f t="shared" si="3"/>
        <v>52.5</v>
      </c>
      <c r="D35" s="124">
        <f t="shared" si="4"/>
        <v>-1.3170009727676724E-3</v>
      </c>
      <c r="E35" s="123">
        <f t="shared" si="5"/>
        <v>0</v>
      </c>
      <c r="F35" s="120">
        <f t="shared" si="6"/>
        <v>-8.5</v>
      </c>
      <c r="G35" s="123">
        <f t="shared" si="7"/>
        <v>-8.5</v>
      </c>
      <c r="H35" s="122">
        <f t="shared" si="8"/>
        <v>-14.875</v>
      </c>
      <c r="I35" s="125">
        <f t="shared" si="9"/>
        <v>-14.353858647982797</v>
      </c>
      <c r="J35" s="125">
        <f t="shared" si="10"/>
        <v>0.21351364738874412</v>
      </c>
    </row>
    <row r="36" spans="1:19" x14ac:dyDescent="0.2">
      <c r="A36" s="120">
        <f t="shared" si="1"/>
        <v>12</v>
      </c>
      <c r="B36" s="120">
        <f t="shared" si="2"/>
        <v>5</v>
      </c>
      <c r="C36" s="120">
        <f t="shared" si="3"/>
        <v>57.5</v>
      </c>
      <c r="D36" s="124">
        <f t="shared" si="4"/>
        <v>-1.7757629701741172E-3</v>
      </c>
      <c r="E36" s="123">
        <f t="shared" si="5"/>
        <v>0</v>
      </c>
      <c r="F36" s="120">
        <f t="shared" si="6"/>
        <v>-8.5</v>
      </c>
      <c r="G36" s="123">
        <f t="shared" si="7"/>
        <v>-8.5</v>
      </c>
      <c r="H36" s="122">
        <f t="shared" si="8"/>
        <v>-14.875</v>
      </c>
      <c r="I36" s="125">
        <f t="shared" si="9"/>
        <v>-19.353858647982797</v>
      </c>
      <c r="J36" s="125">
        <f t="shared" si="10"/>
        <v>0.28788864738874415</v>
      </c>
    </row>
    <row r="37" spans="1:19" x14ac:dyDescent="0.2">
      <c r="A37" s="120">
        <f t="shared" si="1"/>
        <v>13</v>
      </c>
      <c r="B37" s="120">
        <f t="shared" si="2"/>
        <v>5</v>
      </c>
      <c r="C37" s="120">
        <f t="shared" si="3"/>
        <v>62.5</v>
      </c>
      <c r="D37" s="124">
        <f t="shared" si="4"/>
        <v>-2.2345249675805624E-3</v>
      </c>
      <c r="E37" s="123">
        <f t="shared" si="5"/>
        <v>0</v>
      </c>
      <c r="F37" s="120">
        <f t="shared" si="6"/>
        <v>-8.5</v>
      </c>
      <c r="G37" s="123">
        <f t="shared" si="7"/>
        <v>-8.5</v>
      </c>
      <c r="H37" s="122">
        <f t="shared" si="8"/>
        <v>-14.875</v>
      </c>
      <c r="I37" s="125">
        <f t="shared" si="9"/>
        <v>-24.353858647982797</v>
      </c>
      <c r="J37" s="125">
        <f t="shared" si="10"/>
        <v>0.36226364738874411</v>
      </c>
    </row>
    <row r="38" spans="1:19" x14ac:dyDescent="0.2">
      <c r="A38" s="120">
        <f t="shared" si="1"/>
        <v>14</v>
      </c>
      <c r="B38" s="120">
        <f t="shared" si="2"/>
        <v>5</v>
      </c>
      <c r="C38" s="120">
        <f t="shared" si="3"/>
        <v>67.5</v>
      </c>
      <c r="D38" s="124">
        <f t="shared" si="4"/>
        <v>-2.6932869649870074E-3</v>
      </c>
      <c r="E38" s="123">
        <f t="shared" si="5"/>
        <v>0</v>
      </c>
      <c r="F38" s="120">
        <f t="shared" si="6"/>
        <v>-8.5</v>
      </c>
      <c r="G38" s="123">
        <f t="shared" si="7"/>
        <v>-8.5</v>
      </c>
      <c r="H38" s="122">
        <f t="shared" si="8"/>
        <v>-14.875</v>
      </c>
      <c r="I38" s="125">
        <f t="shared" si="9"/>
        <v>-29.353858647982797</v>
      </c>
      <c r="J38" s="125">
        <f t="shared" si="10"/>
        <v>0.43663864738874414</v>
      </c>
    </row>
    <row r="39" spans="1:19" x14ac:dyDescent="0.2">
      <c r="A39" s="120">
        <f t="shared" si="1"/>
        <v>15</v>
      </c>
      <c r="B39" s="120">
        <f t="shared" si="2"/>
        <v>5</v>
      </c>
      <c r="C39" s="120">
        <f t="shared" si="3"/>
        <v>72.5</v>
      </c>
      <c r="D39" s="124">
        <f t="shared" si="4"/>
        <v>-3.1520489623934524E-3</v>
      </c>
      <c r="E39" s="123">
        <f t="shared" si="5"/>
        <v>0</v>
      </c>
      <c r="F39" s="120">
        <f t="shared" si="6"/>
        <v>-8.5</v>
      </c>
      <c r="G39" s="123">
        <f t="shared" si="7"/>
        <v>-8.5</v>
      </c>
      <c r="H39" s="122">
        <f t="shared" si="8"/>
        <v>-14.875</v>
      </c>
      <c r="I39" s="125">
        <f t="shared" si="9"/>
        <v>-34.353858647982797</v>
      </c>
      <c r="J39" s="125">
        <f t="shared" si="10"/>
        <v>0.51101364738874411</v>
      </c>
    </row>
    <row r="40" spans="1:19" x14ac:dyDescent="0.2">
      <c r="A40" s="120">
        <f t="shared" si="1"/>
        <v>16</v>
      </c>
      <c r="B40" s="120">
        <f t="shared" si="2"/>
        <v>5</v>
      </c>
      <c r="C40" s="120">
        <f t="shared" si="3"/>
        <v>77.5</v>
      </c>
      <c r="D40" s="124">
        <f t="shared" si="4"/>
        <v>-3.6108109597998974E-3</v>
      </c>
      <c r="E40" s="123">
        <f t="shared" si="5"/>
        <v>0</v>
      </c>
      <c r="F40" s="120">
        <f t="shared" si="6"/>
        <v>-8.5</v>
      </c>
      <c r="G40" s="123">
        <f t="shared" si="7"/>
        <v>-8.5</v>
      </c>
      <c r="H40" s="122">
        <f t="shared" si="8"/>
        <v>-14.875</v>
      </c>
      <c r="I40" s="125">
        <f t="shared" si="9"/>
        <v>-39.353858647982797</v>
      </c>
      <c r="J40" s="125">
        <f t="shared" si="10"/>
        <v>0.58538864738874408</v>
      </c>
    </row>
    <row r="41" spans="1:19" x14ac:dyDescent="0.2">
      <c r="A41" s="120">
        <f t="shared" si="1"/>
        <v>17</v>
      </c>
      <c r="B41" s="120">
        <f t="shared" si="2"/>
        <v>5</v>
      </c>
      <c r="C41" s="120">
        <f t="shared" si="3"/>
        <v>82.5</v>
      </c>
      <c r="D41" s="124">
        <f t="shared" si="4"/>
        <v>-4.0695729572063424E-3</v>
      </c>
      <c r="E41" s="123">
        <f t="shared" si="5"/>
        <v>0</v>
      </c>
      <c r="F41" s="120">
        <f t="shared" si="6"/>
        <v>-8.5</v>
      </c>
      <c r="G41" s="123">
        <f t="shared" si="7"/>
        <v>-8.5</v>
      </c>
      <c r="H41" s="122">
        <f t="shared" si="8"/>
        <v>-14.875</v>
      </c>
      <c r="I41" s="125">
        <f t="shared" si="9"/>
        <v>-44.353858647982797</v>
      </c>
      <c r="J41" s="125">
        <f t="shared" si="10"/>
        <v>0.65976364738874405</v>
      </c>
    </row>
    <row r="42" spans="1:19" x14ac:dyDescent="0.2">
      <c r="A42" s="120">
        <f t="shared" si="1"/>
        <v>18</v>
      </c>
      <c r="B42" s="120">
        <f t="shared" si="2"/>
        <v>5</v>
      </c>
      <c r="C42" s="120">
        <f t="shared" si="3"/>
        <v>87.5</v>
      </c>
      <c r="D42" s="124">
        <f t="shared" si="4"/>
        <v>-4.5283349546127874E-3</v>
      </c>
      <c r="E42" s="123">
        <f t="shared" si="5"/>
        <v>0</v>
      </c>
      <c r="F42" s="120">
        <f t="shared" si="6"/>
        <v>0</v>
      </c>
      <c r="G42" s="123">
        <f t="shared" si="7"/>
        <v>0</v>
      </c>
      <c r="H42" s="122">
        <f t="shared" si="8"/>
        <v>0</v>
      </c>
      <c r="I42" s="125">
        <f t="shared" si="9"/>
        <v>-49.353858647982797</v>
      </c>
      <c r="J42" s="125">
        <f t="shared" si="10"/>
        <v>0</v>
      </c>
    </row>
    <row r="43" spans="1:19" x14ac:dyDescent="0.2">
      <c r="A43" s="120">
        <f t="shared" si="1"/>
        <v>19</v>
      </c>
      <c r="B43" s="120">
        <f t="shared" si="2"/>
        <v>5</v>
      </c>
      <c r="C43" s="120">
        <f t="shared" si="3"/>
        <v>92.5</v>
      </c>
      <c r="D43" s="124">
        <f t="shared" si="4"/>
        <v>-4.9870969520192324E-3</v>
      </c>
      <c r="E43" s="123">
        <f t="shared" si="5"/>
        <v>0</v>
      </c>
      <c r="F43" s="120">
        <f t="shared" si="6"/>
        <v>0</v>
      </c>
      <c r="G43" s="123">
        <f t="shared" si="7"/>
        <v>0</v>
      </c>
      <c r="H43" s="122">
        <f t="shared" si="8"/>
        <v>0</v>
      </c>
      <c r="I43" s="125">
        <f t="shared" si="9"/>
        <v>-54.353858647982797</v>
      </c>
      <c r="J43" s="125">
        <f t="shared" si="10"/>
        <v>0</v>
      </c>
    </row>
    <row r="44" spans="1:19" x14ac:dyDescent="0.2">
      <c r="A44" s="120">
        <f t="shared" si="1"/>
        <v>20</v>
      </c>
      <c r="B44" s="120">
        <f t="shared" si="2"/>
        <v>5</v>
      </c>
      <c r="C44" s="120">
        <f t="shared" si="3"/>
        <v>97.5</v>
      </c>
      <c r="D44" s="124">
        <f t="shared" si="4"/>
        <v>-5.4458589494256774E-3</v>
      </c>
      <c r="E44" s="123">
        <f t="shared" si="5"/>
        <v>0</v>
      </c>
      <c r="F44" s="120">
        <f t="shared" si="6"/>
        <v>0</v>
      </c>
      <c r="G44" s="123">
        <f t="shared" si="7"/>
        <v>0</v>
      </c>
      <c r="H44" s="122">
        <f t="shared" si="8"/>
        <v>0</v>
      </c>
      <c r="I44" s="125">
        <f t="shared" si="9"/>
        <v>-59.353858647982797</v>
      </c>
      <c r="J44" s="125">
        <f t="shared" si="10"/>
        <v>0</v>
      </c>
    </row>
    <row r="45" spans="1:19" x14ac:dyDescent="0.2">
      <c r="A45" s="120">
        <f t="shared" si="1"/>
        <v>21</v>
      </c>
      <c r="B45" s="120">
        <f t="shared" si="2"/>
        <v>5</v>
      </c>
      <c r="C45" s="120">
        <f t="shared" si="3"/>
        <v>102.5</v>
      </c>
      <c r="D45" s="124">
        <f t="shared" si="4"/>
        <v>-5.9046209468321233E-3</v>
      </c>
      <c r="E45" s="123">
        <f t="shared" si="5"/>
        <v>0</v>
      </c>
      <c r="F45" s="120">
        <f t="shared" si="6"/>
        <v>0</v>
      </c>
      <c r="G45" s="123">
        <f t="shared" si="7"/>
        <v>0</v>
      </c>
      <c r="H45" s="122">
        <f t="shared" si="8"/>
        <v>0</v>
      </c>
      <c r="I45" s="125">
        <f t="shared" si="9"/>
        <v>-64.353858647982804</v>
      </c>
      <c r="J45" s="125">
        <f t="shared" si="10"/>
        <v>0</v>
      </c>
    </row>
    <row r="46" spans="1:19" x14ac:dyDescent="0.2">
      <c r="A46" s="120">
        <f t="shared" si="1"/>
        <v>22</v>
      </c>
      <c r="B46" s="120">
        <f t="shared" si="2"/>
        <v>5</v>
      </c>
      <c r="C46" s="120">
        <f t="shared" si="3"/>
        <v>107.5</v>
      </c>
      <c r="D46" s="124">
        <f t="shared" si="4"/>
        <v>-6.3633829442385683E-3</v>
      </c>
      <c r="E46" s="123">
        <f t="shared" si="5"/>
        <v>0</v>
      </c>
      <c r="F46" s="120">
        <f t="shared" si="6"/>
        <v>0</v>
      </c>
      <c r="G46" s="123">
        <f t="shared" si="7"/>
        <v>0</v>
      </c>
      <c r="H46" s="122">
        <f t="shared" si="8"/>
        <v>0</v>
      </c>
      <c r="I46" s="125">
        <f t="shared" si="9"/>
        <v>-69.353858647982804</v>
      </c>
      <c r="J46" s="125">
        <f t="shared" si="10"/>
        <v>0</v>
      </c>
    </row>
    <row r="47" spans="1:19" x14ac:dyDescent="0.2">
      <c r="A47" s="120">
        <f t="shared" si="1"/>
        <v>23</v>
      </c>
      <c r="B47" s="120">
        <f t="shared" si="2"/>
        <v>5</v>
      </c>
      <c r="C47" s="120">
        <f t="shared" si="3"/>
        <v>112.5</v>
      </c>
      <c r="D47" s="124">
        <f t="shared" si="4"/>
        <v>-6.8221449416450133E-3</v>
      </c>
      <c r="E47" s="123">
        <f t="shared" si="5"/>
        <v>0</v>
      </c>
      <c r="F47" s="120">
        <f t="shared" si="6"/>
        <v>0</v>
      </c>
      <c r="G47" s="123">
        <f t="shared" si="7"/>
        <v>0</v>
      </c>
      <c r="H47" s="122">
        <f t="shared" si="8"/>
        <v>0</v>
      </c>
      <c r="I47" s="125">
        <f t="shared" si="9"/>
        <v>-74.353858647982804</v>
      </c>
      <c r="J47" s="125">
        <f t="shared" si="10"/>
        <v>0</v>
      </c>
    </row>
    <row r="48" spans="1:19" x14ac:dyDescent="0.2">
      <c r="A48" s="120">
        <f t="shared" si="1"/>
        <v>24</v>
      </c>
      <c r="B48" s="120">
        <f t="shared" si="2"/>
        <v>5</v>
      </c>
      <c r="C48" s="120">
        <f t="shared" si="3"/>
        <v>117.5</v>
      </c>
      <c r="D48" s="124">
        <f t="shared" si="4"/>
        <v>-7.2809069390514574E-3</v>
      </c>
      <c r="E48" s="123">
        <f t="shared" si="5"/>
        <v>0</v>
      </c>
      <c r="F48" s="120">
        <f t="shared" si="6"/>
        <v>0</v>
      </c>
      <c r="G48" s="123">
        <f t="shared" si="7"/>
        <v>0</v>
      </c>
      <c r="H48" s="122">
        <f t="shared" si="8"/>
        <v>0</v>
      </c>
      <c r="I48" s="125">
        <f t="shared" si="9"/>
        <v>-79.353858647982804</v>
      </c>
      <c r="J48" s="125">
        <f t="shared" si="10"/>
        <v>0</v>
      </c>
    </row>
    <row r="49" spans="1:10" x14ac:dyDescent="0.2">
      <c r="A49" s="120">
        <f t="shared" si="1"/>
        <v>25</v>
      </c>
      <c r="B49" s="120">
        <f t="shared" si="2"/>
        <v>5</v>
      </c>
      <c r="C49" s="120">
        <f t="shared" si="3"/>
        <v>122.5</v>
      </c>
      <c r="D49" s="124">
        <f t="shared" si="4"/>
        <v>-7.7396689364579033E-3</v>
      </c>
      <c r="E49" s="123">
        <f t="shared" si="5"/>
        <v>0</v>
      </c>
      <c r="F49" s="120">
        <f t="shared" si="6"/>
        <v>0</v>
      </c>
      <c r="G49" s="123">
        <f t="shared" si="7"/>
        <v>0</v>
      </c>
      <c r="H49" s="122">
        <f t="shared" si="8"/>
        <v>0</v>
      </c>
      <c r="I49" s="125">
        <f t="shared" si="9"/>
        <v>-84.353858647982804</v>
      </c>
      <c r="J49" s="125">
        <f t="shared" si="10"/>
        <v>0</v>
      </c>
    </row>
    <row r="50" spans="1:10" x14ac:dyDescent="0.2">
      <c r="A50" s="120">
        <f t="shared" si="1"/>
        <v>26</v>
      </c>
      <c r="B50" s="120">
        <f t="shared" si="2"/>
        <v>5</v>
      </c>
      <c r="C50" s="120">
        <f t="shared" si="3"/>
        <v>127.5</v>
      </c>
      <c r="D50" s="124">
        <f t="shared" si="4"/>
        <v>-8.1984309338643483E-3</v>
      </c>
      <c r="E50" s="123">
        <f t="shared" si="5"/>
        <v>0</v>
      </c>
      <c r="F50" s="133">
        <f t="shared" si="6"/>
        <v>0</v>
      </c>
      <c r="G50" s="123">
        <f t="shared" si="7"/>
        <v>0</v>
      </c>
      <c r="H50" s="122">
        <f t="shared" si="8"/>
        <v>0</v>
      </c>
      <c r="I50" s="125">
        <f t="shared" si="9"/>
        <v>-89.353858647982804</v>
      </c>
      <c r="J50" s="125">
        <f t="shared" si="10"/>
        <v>0</v>
      </c>
    </row>
    <row r="51" spans="1:10" x14ac:dyDescent="0.2">
      <c r="A51" s="120">
        <f t="shared" si="1"/>
        <v>27</v>
      </c>
      <c r="B51" s="120">
        <f t="shared" si="2"/>
        <v>5</v>
      </c>
      <c r="C51" s="120">
        <f t="shared" si="3"/>
        <v>132.5</v>
      </c>
      <c r="D51" s="124">
        <f t="shared" si="4"/>
        <v>-8.6571929312707924E-3</v>
      </c>
      <c r="E51" s="123">
        <f t="shared" si="5"/>
        <v>0</v>
      </c>
      <c r="F51" s="120">
        <f t="shared" si="6"/>
        <v>0</v>
      </c>
      <c r="G51" s="123">
        <f t="shared" si="7"/>
        <v>0</v>
      </c>
      <c r="H51" s="122">
        <f t="shared" si="8"/>
        <v>0</v>
      </c>
      <c r="I51" s="125">
        <f t="shared" si="9"/>
        <v>-94.353858647982804</v>
      </c>
      <c r="J51" s="125">
        <f t="shared" si="10"/>
        <v>0</v>
      </c>
    </row>
    <row r="52" spans="1:10" x14ac:dyDescent="0.2">
      <c r="A52" s="120">
        <f t="shared" si="1"/>
        <v>28</v>
      </c>
      <c r="B52" s="120">
        <f t="shared" si="2"/>
        <v>5</v>
      </c>
      <c r="C52" s="120">
        <f t="shared" si="3"/>
        <v>137.5</v>
      </c>
      <c r="D52" s="124">
        <f t="shared" si="4"/>
        <v>-9.1159549286772383E-3</v>
      </c>
      <c r="E52" s="123">
        <f t="shared" si="5"/>
        <v>0</v>
      </c>
      <c r="F52" s="120">
        <f t="shared" si="6"/>
        <v>0</v>
      </c>
      <c r="G52" s="123">
        <f t="shared" si="7"/>
        <v>0</v>
      </c>
      <c r="H52" s="122">
        <f t="shared" si="8"/>
        <v>0</v>
      </c>
      <c r="I52" s="125">
        <f t="shared" si="9"/>
        <v>-99.353858647982804</v>
      </c>
      <c r="J52" s="125">
        <f t="shared" si="10"/>
        <v>0</v>
      </c>
    </row>
    <row r="53" spans="1:10" x14ac:dyDescent="0.2">
      <c r="A53" s="120">
        <f t="shared" si="1"/>
        <v>29</v>
      </c>
      <c r="B53" s="120">
        <f t="shared" si="2"/>
        <v>5</v>
      </c>
      <c r="C53" s="120">
        <f t="shared" si="3"/>
        <v>142.5</v>
      </c>
      <c r="D53" s="124">
        <f t="shared" si="4"/>
        <v>-9.5747169260836824E-3</v>
      </c>
      <c r="E53" s="123">
        <f t="shared" si="5"/>
        <v>0</v>
      </c>
      <c r="F53" s="120">
        <f t="shared" si="6"/>
        <v>0</v>
      </c>
      <c r="G53" s="123">
        <f t="shared" si="7"/>
        <v>0</v>
      </c>
      <c r="H53" s="122">
        <f t="shared" si="8"/>
        <v>0</v>
      </c>
      <c r="I53" s="125">
        <f t="shared" si="9"/>
        <v>-104.3538586479828</v>
      </c>
      <c r="J53" s="125">
        <f t="shared" si="10"/>
        <v>0</v>
      </c>
    </row>
    <row r="54" spans="1:10" x14ac:dyDescent="0.2">
      <c r="A54" s="120">
        <f t="shared" si="1"/>
        <v>30</v>
      </c>
      <c r="B54" s="120">
        <f t="shared" si="2"/>
        <v>5</v>
      </c>
      <c r="C54" s="120">
        <f t="shared" si="3"/>
        <v>147.5</v>
      </c>
      <c r="D54" s="124">
        <f t="shared" si="4"/>
        <v>-1.0033478923490128E-2</v>
      </c>
      <c r="E54" s="123">
        <f t="shared" si="5"/>
        <v>0</v>
      </c>
      <c r="F54" s="120">
        <f t="shared" si="6"/>
        <v>0</v>
      </c>
      <c r="G54" s="123">
        <f t="shared" si="7"/>
        <v>0</v>
      </c>
      <c r="H54" s="122">
        <f t="shared" si="8"/>
        <v>0</v>
      </c>
      <c r="I54" s="125">
        <f t="shared" si="9"/>
        <v>-109.3538586479828</v>
      </c>
      <c r="J54" s="125">
        <f t="shared" si="10"/>
        <v>0</v>
      </c>
    </row>
    <row r="55" spans="1:10" x14ac:dyDescent="0.2">
      <c r="A55" s="120">
        <f t="shared" si="1"/>
        <v>31</v>
      </c>
      <c r="B55" s="120">
        <f t="shared" si="2"/>
        <v>5</v>
      </c>
      <c r="C55" s="120">
        <f t="shared" si="3"/>
        <v>152.5</v>
      </c>
      <c r="D55" s="124">
        <f t="shared" si="4"/>
        <v>-1.0492240920896572E-2</v>
      </c>
      <c r="E55" s="123">
        <f t="shared" si="5"/>
        <v>0</v>
      </c>
      <c r="F55" s="120">
        <f t="shared" si="6"/>
        <v>0</v>
      </c>
      <c r="G55" s="123">
        <f t="shared" si="7"/>
        <v>0</v>
      </c>
      <c r="H55" s="122">
        <f t="shared" si="8"/>
        <v>0</v>
      </c>
      <c r="I55" s="125">
        <f t="shared" si="9"/>
        <v>-114.3538586479828</v>
      </c>
      <c r="J55" s="125">
        <f t="shared" si="10"/>
        <v>0</v>
      </c>
    </row>
    <row r="56" spans="1:10" x14ac:dyDescent="0.2">
      <c r="A56" s="120">
        <f t="shared" si="1"/>
        <v>32</v>
      </c>
      <c r="B56" s="120">
        <f t="shared" si="2"/>
        <v>5</v>
      </c>
      <c r="C56" s="120">
        <f t="shared" si="3"/>
        <v>157.5</v>
      </c>
      <c r="D56" s="124">
        <f t="shared" si="4"/>
        <v>-1.0951002918303018E-2</v>
      </c>
      <c r="E56" s="123">
        <f t="shared" si="5"/>
        <v>0</v>
      </c>
      <c r="F56" s="120">
        <f t="shared" si="6"/>
        <v>0</v>
      </c>
      <c r="G56" s="123">
        <f t="shared" si="7"/>
        <v>0</v>
      </c>
      <c r="H56" s="122">
        <f t="shared" si="8"/>
        <v>0</v>
      </c>
      <c r="I56" s="125">
        <f t="shared" si="9"/>
        <v>-119.3538586479828</v>
      </c>
      <c r="J56" s="125">
        <f t="shared" si="10"/>
        <v>0</v>
      </c>
    </row>
    <row r="57" spans="1:10" x14ac:dyDescent="0.2">
      <c r="A57" s="120">
        <f t="shared" si="1"/>
        <v>33</v>
      </c>
      <c r="B57" s="120">
        <f t="shared" si="2"/>
        <v>5</v>
      </c>
      <c r="C57" s="120">
        <f t="shared" si="3"/>
        <v>162.5</v>
      </c>
      <c r="D57" s="124">
        <f t="shared" si="4"/>
        <v>-1.1409764915709462E-2</v>
      </c>
      <c r="E57" s="123">
        <f t="shared" si="5"/>
        <v>0</v>
      </c>
      <c r="F57" s="120">
        <f t="shared" si="6"/>
        <v>0</v>
      </c>
      <c r="G57" s="123">
        <f t="shared" si="7"/>
        <v>0</v>
      </c>
      <c r="H57" s="122">
        <f t="shared" si="8"/>
        <v>0</v>
      </c>
      <c r="I57" s="125">
        <f t="shared" si="9"/>
        <v>-124.3538586479828</v>
      </c>
      <c r="J57" s="125">
        <f t="shared" si="10"/>
        <v>0</v>
      </c>
    </row>
    <row r="58" spans="1:10" x14ac:dyDescent="0.2">
      <c r="A58" s="120">
        <f t="shared" si="1"/>
        <v>34</v>
      </c>
      <c r="B58" s="120">
        <f t="shared" si="2"/>
        <v>5</v>
      </c>
      <c r="C58" s="120">
        <f t="shared" si="3"/>
        <v>167.5</v>
      </c>
      <c r="D58" s="124">
        <f t="shared" si="4"/>
        <v>-1.1868526913115908E-2</v>
      </c>
      <c r="E58" s="120">
        <f t="shared" si="5"/>
        <v>0</v>
      </c>
      <c r="F58" s="133">
        <f t="shared" si="6"/>
        <v>0</v>
      </c>
      <c r="G58" s="133">
        <f t="shared" si="7"/>
        <v>0</v>
      </c>
      <c r="H58" s="122">
        <f t="shared" si="8"/>
        <v>0</v>
      </c>
      <c r="I58" s="125">
        <f t="shared" si="9"/>
        <v>-129.3538586479828</v>
      </c>
      <c r="J58" s="125">
        <f t="shared" si="10"/>
        <v>0</v>
      </c>
    </row>
    <row r="59" spans="1:10" x14ac:dyDescent="0.2">
      <c r="A59" s="120">
        <f t="shared" si="1"/>
        <v>35</v>
      </c>
      <c r="B59" s="120">
        <f t="shared" si="2"/>
        <v>5</v>
      </c>
      <c r="C59" s="120">
        <f t="shared" si="3"/>
        <v>172.5</v>
      </c>
      <c r="D59" s="124">
        <f t="shared" si="4"/>
        <v>-1.2327288910522352E-2</v>
      </c>
      <c r="E59" s="120">
        <f t="shared" si="5"/>
        <v>0</v>
      </c>
      <c r="F59" s="120">
        <f t="shared" si="6"/>
        <v>0</v>
      </c>
      <c r="G59" s="120">
        <f t="shared" si="7"/>
        <v>0</v>
      </c>
      <c r="H59" s="120">
        <f t="shared" si="8"/>
        <v>0</v>
      </c>
      <c r="I59" s="125">
        <f t="shared" si="9"/>
        <v>-134.3538586479828</v>
      </c>
      <c r="J59" s="125">
        <f t="shared" si="10"/>
        <v>0</v>
      </c>
    </row>
    <row r="60" spans="1:10" x14ac:dyDescent="0.2">
      <c r="A60" s="120">
        <f t="shared" si="1"/>
        <v>36</v>
      </c>
      <c r="B60" s="120">
        <f t="shared" si="2"/>
        <v>5</v>
      </c>
      <c r="C60" s="120">
        <f t="shared" si="3"/>
        <v>177.5</v>
      </c>
      <c r="D60" s="124">
        <f t="shared" si="4"/>
        <v>-1.2786050907928798E-2</v>
      </c>
      <c r="E60" s="120">
        <f t="shared" si="5"/>
        <v>0</v>
      </c>
      <c r="F60" s="120">
        <f t="shared" si="6"/>
        <v>0</v>
      </c>
      <c r="G60" s="120">
        <f t="shared" si="7"/>
        <v>0</v>
      </c>
      <c r="H60" s="120">
        <f t="shared" si="8"/>
        <v>0</v>
      </c>
      <c r="I60" s="125">
        <f t="shared" si="9"/>
        <v>-139.3538586479828</v>
      </c>
      <c r="J60" s="125">
        <f t="shared" si="10"/>
        <v>0</v>
      </c>
    </row>
    <row r="61" spans="1:10" x14ac:dyDescent="0.2">
      <c r="A61" s="120">
        <f t="shared" si="1"/>
        <v>37</v>
      </c>
      <c r="B61" s="120">
        <f t="shared" si="2"/>
        <v>5</v>
      </c>
      <c r="C61" s="120">
        <f t="shared" si="3"/>
        <v>182.5</v>
      </c>
      <c r="D61" s="124">
        <f t="shared" si="4"/>
        <v>-1.3244812905335242E-2</v>
      </c>
      <c r="E61" s="120">
        <f t="shared" si="5"/>
        <v>0</v>
      </c>
      <c r="F61" s="120">
        <f t="shared" si="6"/>
        <v>0</v>
      </c>
      <c r="G61" s="120">
        <f t="shared" si="7"/>
        <v>0</v>
      </c>
      <c r="H61" s="120">
        <f t="shared" si="8"/>
        <v>0</v>
      </c>
      <c r="I61" s="125">
        <f t="shared" si="9"/>
        <v>-144.3538586479828</v>
      </c>
      <c r="J61" s="125">
        <f t="shared" si="10"/>
        <v>0</v>
      </c>
    </row>
    <row r="62" spans="1:10" x14ac:dyDescent="0.2">
      <c r="A62" s="120">
        <f t="shared" si="1"/>
        <v>38</v>
      </c>
      <c r="B62" s="120">
        <f t="shared" si="2"/>
        <v>5</v>
      </c>
      <c r="C62" s="120">
        <f t="shared" si="3"/>
        <v>187.5</v>
      </c>
      <c r="D62" s="124">
        <f t="shared" si="4"/>
        <v>-1.3703574902741688E-2</v>
      </c>
      <c r="E62" s="120">
        <f t="shared" si="5"/>
        <v>0</v>
      </c>
      <c r="F62" s="120">
        <f t="shared" si="6"/>
        <v>0</v>
      </c>
      <c r="G62" s="120">
        <f t="shared" si="7"/>
        <v>0</v>
      </c>
      <c r="H62" s="120">
        <f t="shared" si="8"/>
        <v>0</v>
      </c>
      <c r="I62" s="125">
        <f t="shared" si="9"/>
        <v>-149.3538586479828</v>
      </c>
      <c r="J62" s="125">
        <f t="shared" si="10"/>
        <v>0</v>
      </c>
    </row>
    <row r="63" spans="1:10" x14ac:dyDescent="0.2">
      <c r="A63" s="120">
        <f t="shared" si="1"/>
        <v>39</v>
      </c>
      <c r="B63" s="120">
        <f t="shared" si="2"/>
        <v>5</v>
      </c>
      <c r="C63" s="120">
        <f t="shared" si="3"/>
        <v>192.5</v>
      </c>
      <c r="D63" s="124">
        <f t="shared" si="4"/>
        <v>-1.4162336900148132E-2</v>
      </c>
      <c r="E63" s="120">
        <f t="shared" si="5"/>
        <v>0</v>
      </c>
      <c r="F63" s="120">
        <f t="shared" si="6"/>
        <v>0</v>
      </c>
      <c r="G63" s="120">
        <f t="shared" si="7"/>
        <v>0</v>
      </c>
      <c r="H63" s="120">
        <f t="shared" si="8"/>
        <v>0</v>
      </c>
      <c r="I63" s="125">
        <f t="shared" si="9"/>
        <v>-154.3538586479828</v>
      </c>
      <c r="J63" s="125">
        <f t="shared" si="10"/>
        <v>0</v>
      </c>
    </row>
    <row r="64" spans="1:10" x14ac:dyDescent="0.2">
      <c r="A64" s="120">
        <f t="shared" si="1"/>
        <v>40</v>
      </c>
      <c r="B64" s="120">
        <f t="shared" si="2"/>
        <v>5</v>
      </c>
      <c r="C64" s="120">
        <f t="shared" si="3"/>
        <v>197.5</v>
      </c>
      <c r="D64" s="124">
        <f t="shared" si="4"/>
        <v>-1.4621098897554577E-2</v>
      </c>
      <c r="E64" s="120">
        <f t="shared" si="5"/>
        <v>0</v>
      </c>
      <c r="F64" s="120">
        <f t="shared" si="6"/>
        <v>0</v>
      </c>
      <c r="G64" s="120">
        <f t="shared" si="7"/>
        <v>0</v>
      </c>
      <c r="H64" s="120">
        <f t="shared" si="8"/>
        <v>0</v>
      </c>
      <c r="I64" s="125">
        <f t="shared" si="9"/>
        <v>-159.3538586479828</v>
      </c>
      <c r="J64" s="125">
        <f t="shared" si="10"/>
        <v>0</v>
      </c>
    </row>
    <row r="65" spans="1:10" x14ac:dyDescent="0.2">
      <c r="A65" s="120">
        <f t="shared" si="1"/>
        <v>41</v>
      </c>
      <c r="B65" s="120">
        <f t="shared" si="2"/>
        <v>5</v>
      </c>
      <c r="C65" s="120">
        <f t="shared" si="3"/>
        <v>202.5</v>
      </c>
      <c r="D65" s="124">
        <f t="shared" si="4"/>
        <v>-1.5079860894961024E-2</v>
      </c>
      <c r="E65" s="120">
        <f t="shared" si="5"/>
        <v>0</v>
      </c>
      <c r="F65" s="120">
        <f t="shared" si="6"/>
        <v>0</v>
      </c>
      <c r="G65" s="120">
        <f t="shared" si="7"/>
        <v>0</v>
      </c>
      <c r="H65" s="120">
        <f t="shared" si="8"/>
        <v>0</v>
      </c>
      <c r="I65" s="125">
        <f t="shared" si="9"/>
        <v>-164.3538586479828</v>
      </c>
      <c r="J65" s="125">
        <f t="shared" si="10"/>
        <v>0</v>
      </c>
    </row>
    <row r="66" spans="1:10" x14ac:dyDescent="0.2">
      <c r="A66" s="120">
        <f t="shared" si="1"/>
        <v>42</v>
      </c>
      <c r="B66" s="120">
        <f t="shared" si="2"/>
        <v>5</v>
      </c>
      <c r="C66" s="120">
        <f t="shared" si="3"/>
        <v>207.5</v>
      </c>
      <c r="D66" s="124">
        <f t="shared" si="4"/>
        <v>-1.5538622892367468E-2</v>
      </c>
      <c r="E66" s="120">
        <f t="shared" si="5"/>
        <v>0</v>
      </c>
      <c r="F66" s="120">
        <f t="shared" si="6"/>
        <v>0</v>
      </c>
      <c r="G66" s="120">
        <f t="shared" si="7"/>
        <v>0</v>
      </c>
      <c r="H66" s="120">
        <f t="shared" si="8"/>
        <v>0</v>
      </c>
      <c r="I66" s="125">
        <f t="shared" si="9"/>
        <v>-169.3538586479828</v>
      </c>
      <c r="J66" s="125">
        <f t="shared" si="10"/>
        <v>0</v>
      </c>
    </row>
    <row r="67" spans="1:10" x14ac:dyDescent="0.2">
      <c r="A67" s="120">
        <f t="shared" si="1"/>
        <v>43</v>
      </c>
      <c r="B67" s="120">
        <f t="shared" si="2"/>
        <v>5</v>
      </c>
      <c r="C67" s="120">
        <f t="shared" si="3"/>
        <v>212.5</v>
      </c>
      <c r="D67" s="124">
        <f t="shared" si="4"/>
        <v>-1.5997384889773914E-2</v>
      </c>
      <c r="E67" s="120">
        <f t="shared" si="5"/>
        <v>0</v>
      </c>
      <c r="F67" s="120">
        <f t="shared" si="6"/>
        <v>0</v>
      </c>
      <c r="G67" s="120">
        <f t="shared" si="7"/>
        <v>0</v>
      </c>
      <c r="H67" s="120">
        <f t="shared" si="8"/>
        <v>0</v>
      </c>
      <c r="I67" s="125">
        <f t="shared" si="9"/>
        <v>-174.3538586479828</v>
      </c>
      <c r="J67" s="125">
        <f t="shared" si="10"/>
        <v>0</v>
      </c>
    </row>
    <row r="68" spans="1:10" x14ac:dyDescent="0.2">
      <c r="A68" s="120">
        <f t="shared" si="1"/>
        <v>44</v>
      </c>
      <c r="B68" s="120">
        <f t="shared" si="2"/>
        <v>5</v>
      </c>
      <c r="C68" s="120">
        <f t="shared" si="3"/>
        <v>217.5</v>
      </c>
      <c r="D68" s="124">
        <f t="shared" si="4"/>
        <v>-1.6456146887180358E-2</v>
      </c>
      <c r="E68" s="120">
        <f t="shared" si="5"/>
        <v>0</v>
      </c>
      <c r="F68" s="120">
        <f t="shared" si="6"/>
        <v>0</v>
      </c>
      <c r="G68" s="120">
        <f t="shared" si="7"/>
        <v>0</v>
      </c>
      <c r="H68" s="120">
        <f t="shared" si="8"/>
        <v>0</v>
      </c>
      <c r="I68" s="125">
        <f t="shared" si="9"/>
        <v>-179.3538586479828</v>
      </c>
      <c r="J68" s="125">
        <f t="shared" si="10"/>
        <v>0</v>
      </c>
    </row>
    <row r="69" spans="1:10" x14ac:dyDescent="0.2">
      <c r="A69" s="120">
        <f t="shared" si="1"/>
        <v>45</v>
      </c>
      <c r="B69" s="120">
        <f t="shared" si="2"/>
        <v>5</v>
      </c>
      <c r="C69" s="120">
        <f t="shared" si="3"/>
        <v>222.5</v>
      </c>
      <c r="D69" s="124">
        <f t="shared" si="4"/>
        <v>-1.6914908884586802E-2</v>
      </c>
      <c r="E69" s="120">
        <f t="shared" si="5"/>
        <v>0</v>
      </c>
      <c r="F69" s="120">
        <f t="shared" si="6"/>
        <v>0</v>
      </c>
      <c r="G69" s="120">
        <f t="shared" si="7"/>
        <v>0</v>
      </c>
      <c r="H69" s="120">
        <f t="shared" si="8"/>
        <v>0</v>
      </c>
      <c r="I69" s="125">
        <f t="shared" si="9"/>
        <v>-184.3538586479828</v>
      </c>
      <c r="J69" s="125">
        <f t="shared" si="10"/>
        <v>0</v>
      </c>
    </row>
    <row r="70" spans="1:10" x14ac:dyDescent="0.2">
      <c r="A70" s="120">
        <f t="shared" si="1"/>
        <v>46</v>
      </c>
      <c r="B70" s="120">
        <f t="shared" si="2"/>
        <v>5</v>
      </c>
      <c r="C70" s="120">
        <f t="shared" si="3"/>
        <v>227.5</v>
      </c>
      <c r="D70" s="124">
        <f t="shared" si="4"/>
        <v>-1.737367088199325E-2</v>
      </c>
      <c r="E70" s="120">
        <f t="shared" si="5"/>
        <v>0</v>
      </c>
      <c r="F70" s="120">
        <f t="shared" si="6"/>
        <v>0</v>
      </c>
      <c r="G70" s="120">
        <f t="shared" si="7"/>
        <v>0</v>
      </c>
      <c r="H70" s="120">
        <f t="shared" si="8"/>
        <v>0</v>
      </c>
      <c r="I70" s="125">
        <f t="shared" si="9"/>
        <v>-189.3538586479828</v>
      </c>
      <c r="J70" s="125">
        <f t="shared" si="10"/>
        <v>0</v>
      </c>
    </row>
    <row r="71" spans="1:10" x14ac:dyDescent="0.2">
      <c r="A71" s="120">
        <f t="shared" si="1"/>
        <v>47</v>
      </c>
      <c r="B71" s="120">
        <f t="shared" si="2"/>
        <v>5</v>
      </c>
      <c r="C71" s="120">
        <f t="shared" si="3"/>
        <v>232.5</v>
      </c>
      <c r="D71" s="124">
        <f t="shared" si="4"/>
        <v>-1.7832432879399694E-2</v>
      </c>
      <c r="E71" s="120">
        <f t="shared" si="5"/>
        <v>0</v>
      </c>
      <c r="F71" s="120">
        <f t="shared" si="6"/>
        <v>0</v>
      </c>
      <c r="G71" s="120">
        <f t="shared" si="7"/>
        <v>0</v>
      </c>
      <c r="H71" s="120">
        <f t="shared" si="8"/>
        <v>0</v>
      </c>
      <c r="I71" s="125">
        <f t="shared" si="9"/>
        <v>-194.3538586479828</v>
      </c>
      <c r="J71" s="125">
        <f t="shared" si="10"/>
        <v>0</v>
      </c>
    </row>
    <row r="72" spans="1:10" x14ac:dyDescent="0.2">
      <c r="A72" s="120">
        <f t="shared" si="1"/>
        <v>48</v>
      </c>
      <c r="B72" s="120">
        <f t="shared" si="2"/>
        <v>5</v>
      </c>
      <c r="C72" s="120">
        <f t="shared" si="3"/>
        <v>237.5</v>
      </c>
      <c r="D72" s="124">
        <f t="shared" si="4"/>
        <v>-1.8291194876806138E-2</v>
      </c>
      <c r="E72" s="120">
        <f t="shared" si="5"/>
        <v>0</v>
      </c>
      <c r="F72" s="120">
        <f t="shared" si="6"/>
        <v>0</v>
      </c>
      <c r="G72" s="120">
        <f t="shared" si="7"/>
        <v>0</v>
      </c>
      <c r="H72" s="120">
        <f t="shared" si="8"/>
        <v>0</v>
      </c>
      <c r="I72" s="125">
        <f t="shared" si="9"/>
        <v>-199.3538586479828</v>
      </c>
      <c r="J72" s="125">
        <f t="shared" si="10"/>
        <v>0</v>
      </c>
    </row>
    <row r="73" spans="1:10" x14ac:dyDescent="0.2">
      <c r="A73" s="120">
        <f t="shared" si="1"/>
        <v>49</v>
      </c>
      <c r="B73" s="120">
        <f t="shared" si="2"/>
        <v>5</v>
      </c>
      <c r="C73" s="120">
        <f t="shared" si="3"/>
        <v>242.5</v>
      </c>
      <c r="D73" s="124">
        <f t="shared" si="4"/>
        <v>-1.8749956874212582E-2</v>
      </c>
      <c r="E73" s="120">
        <f t="shared" si="5"/>
        <v>0</v>
      </c>
      <c r="F73" s="120">
        <f t="shared" si="6"/>
        <v>0</v>
      </c>
      <c r="G73" s="120">
        <f t="shared" si="7"/>
        <v>0</v>
      </c>
      <c r="H73" s="120">
        <f t="shared" si="8"/>
        <v>0</v>
      </c>
      <c r="I73" s="125">
        <f t="shared" si="9"/>
        <v>-204.3538586479828</v>
      </c>
      <c r="J73" s="125">
        <f t="shared" si="10"/>
        <v>0</v>
      </c>
    </row>
    <row r="74" spans="1:10" x14ac:dyDescent="0.2">
      <c r="A74" s="120">
        <f t="shared" si="1"/>
        <v>50</v>
      </c>
      <c r="B74" s="120">
        <f t="shared" si="2"/>
        <v>5</v>
      </c>
      <c r="C74" s="120">
        <f t="shared" si="3"/>
        <v>247.5</v>
      </c>
      <c r="D74" s="124">
        <f t="shared" si="4"/>
        <v>-1.9208718871619027E-2</v>
      </c>
      <c r="E74" s="120">
        <f t="shared" si="5"/>
        <v>0</v>
      </c>
      <c r="F74" s="120">
        <f t="shared" si="6"/>
        <v>0</v>
      </c>
      <c r="G74" s="120">
        <f t="shared" si="7"/>
        <v>0</v>
      </c>
      <c r="H74" s="120">
        <f t="shared" si="8"/>
        <v>0</v>
      </c>
      <c r="I74" s="125">
        <f t="shared" si="9"/>
        <v>-209.3538586479828</v>
      </c>
      <c r="J74" s="125">
        <f t="shared" si="10"/>
        <v>0</v>
      </c>
    </row>
    <row r="75" spans="1:10" x14ac:dyDescent="0.2">
      <c r="A75" s="120">
        <f t="shared" si="1"/>
        <v>51</v>
      </c>
      <c r="B75" s="120">
        <f t="shared" si="2"/>
        <v>5</v>
      </c>
      <c r="C75" s="120">
        <f t="shared" si="3"/>
        <v>252.5</v>
      </c>
      <c r="D75" s="124">
        <f t="shared" si="4"/>
        <v>-1.9667480869025471E-2</v>
      </c>
      <c r="E75" s="120">
        <f t="shared" si="5"/>
        <v>0</v>
      </c>
      <c r="F75" s="120">
        <f t="shared" si="6"/>
        <v>0</v>
      </c>
      <c r="G75" s="120">
        <f t="shared" si="7"/>
        <v>0</v>
      </c>
      <c r="H75" s="120">
        <f t="shared" si="8"/>
        <v>0</v>
      </c>
      <c r="I75" s="125">
        <f t="shared" si="9"/>
        <v>-214.3538586479828</v>
      </c>
      <c r="J75" s="125">
        <f t="shared" si="10"/>
        <v>0</v>
      </c>
    </row>
    <row r="76" spans="1:10" x14ac:dyDescent="0.2">
      <c r="A76" s="120">
        <f t="shared" si="1"/>
        <v>52</v>
      </c>
      <c r="B76" s="120">
        <f t="shared" si="2"/>
        <v>5</v>
      </c>
      <c r="C76" s="120">
        <f t="shared" si="3"/>
        <v>257.5</v>
      </c>
      <c r="D76" s="124">
        <f t="shared" si="4"/>
        <v>-2.0126242866431918E-2</v>
      </c>
      <c r="E76" s="120">
        <f t="shared" si="5"/>
        <v>0</v>
      </c>
      <c r="F76" s="120">
        <f t="shared" si="6"/>
        <v>0</v>
      </c>
      <c r="G76" s="120">
        <f t="shared" si="7"/>
        <v>0</v>
      </c>
      <c r="H76" s="120">
        <f t="shared" si="8"/>
        <v>0</v>
      </c>
      <c r="I76" s="125">
        <f t="shared" si="9"/>
        <v>-219.3538586479828</v>
      </c>
      <c r="J76" s="125">
        <f t="shared" si="10"/>
        <v>0</v>
      </c>
    </row>
    <row r="77" spans="1:10" x14ac:dyDescent="0.2">
      <c r="A77" s="120">
        <f t="shared" si="1"/>
        <v>53</v>
      </c>
      <c r="B77" s="120">
        <f t="shared" si="2"/>
        <v>5</v>
      </c>
      <c r="C77" s="120">
        <f t="shared" si="3"/>
        <v>262.5</v>
      </c>
      <c r="D77" s="124">
        <f t="shared" si="4"/>
        <v>-2.0585004863838362E-2</v>
      </c>
      <c r="E77" s="120">
        <f t="shared" si="5"/>
        <v>0</v>
      </c>
      <c r="F77" s="120">
        <f t="shared" si="6"/>
        <v>0</v>
      </c>
      <c r="G77" s="120">
        <f t="shared" si="7"/>
        <v>0</v>
      </c>
      <c r="H77" s="120">
        <f t="shared" si="8"/>
        <v>0</v>
      </c>
      <c r="I77" s="125">
        <f t="shared" si="9"/>
        <v>-224.3538586479828</v>
      </c>
      <c r="J77" s="125">
        <f t="shared" si="10"/>
        <v>0</v>
      </c>
    </row>
    <row r="78" spans="1:10" x14ac:dyDescent="0.2">
      <c r="A78" s="120">
        <f t="shared" si="1"/>
        <v>54</v>
      </c>
      <c r="B78" s="120">
        <f t="shared" si="2"/>
        <v>5</v>
      </c>
      <c r="C78" s="120">
        <f t="shared" si="3"/>
        <v>267.5</v>
      </c>
      <c r="D78" s="124">
        <f t="shared" si="4"/>
        <v>-2.104376686124481E-2</v>
      </c>
      <c r="E78" s="120">
        <f t="shared" si="5"/>
        <v>0</v>
      </c>
      <c r="F78" s="120">
        <f t="shared" si="6"/>
        <v>0</v>
      </c>
      <c r="G78" s="120">
        <f t="shared" si="7"/>
        <v>0</v>
      </c>
      <c r="H78" s="120">
        <f t="shared" si="8"/>
        <v>0</v>
      </c>
      <c r="I78" s="125">
        <f t="shared" si="9"/>
        <v>-229.3538586479828</v>
      </c>
      <c r="J78" s="125">
        <f t="shared" si="10"/>
        <v>0</v>
      </c>
    </row>
    <row r="79" spans="1:10" x14ac:dyDescent="0.2">
      <c r="A79" s="120">
        <f t="shared" si="1"/>
        <v>55</v>
      </c>
      <c r="B79" s="120">
        <f t="shared" si="2"/>
        <v>5</v>
      </c>
      <c r="C79" s="120">
        <f t="shared" si="3"/>
        <v>272.5</v>
      </c>
      <c r="D79" s="124">
        <f t="shared" si="4"/>
        <v>-2.1502528858651254E-2</v>
      </c>
      <c r="E79" s="120">
        <f t="shared" si="5"/>
        <v>0</v>
      </c>
      <c r="F79" s="120">
        <f t="shared" si="6"/>
        <v>0</v>
      </c>
      <c r="G79" s="120">
        <f t="shared" si="7"/>
        <v>0</v>
      </c>
      <c r="H79" s="120">
        <f t="shared" si="8"/>
        <v>0</v>
      </c>
      <c r="I79" s="125">
        <f t="shared" si="9"/>
        <v>-234.3538586479828</v>
      </c>
      <c r="J79" s="125">
        <f t="shared" si="10"/>
        <v>0</v>
      </c>
    </row>
    <row r="80" spans="1:10" x14ac:dyDescent="0.2">
      <c r="A80" s="120">
        <f t="shared" si="1"/>
        <v>56</v>
      </c>
      <c r="B80" s="120">
        <f t="shared" si="2"/>
        <v>5</v>
      </c>
      <c r="C80" s="120">
        <f t="shared" si="3"/>
        <v>277.5</v>
      </c>
      <c r="D80" s="124">
        <f t="shared" si="4"/>
        <v>-2.1961290856057698E-2</v>
      </c>
      <c r="E80" s="120">
        <f t="shared" si="5"/>
        <v>0</v>
      </c>
      <c r="F80" s="120">
        <f t="shared" si="6"/>
        <v>0</v>
      </c>
      <c r="G80" s="120">
        <f t="shared" si="7"/>
        <v>0</v>
      </c>
      <c r="H80" s="120">
        <f t="shared" si="8"/>
        <v>0</v>
      </c>
      <c r="I80" s="125">
        <f t="shared" si="9"/>
        <v>-239.3538586479828</v>
      </c>
      <c r="J80" s="125">
        <f t="shared" si="10"/>
        <v>0</v>
      </c>
    </row>
    <row r="81" spans="1:10" x14ac:dyDescent="0.2">
      <c r="A81" s="120">
        <f t="shared" si="1"/>
        <v>57</v>
      </c>
      <c r="B81" s="120">
        <f t="shared" si="2"/>
        <v>5</v>
      </c>
      <c r="C81" s="120">
        <f t="shared" si="3"/>
        <v>282.5</v>
      </c>
      <c r="D81" s="124">
        <f t="shared" si="4"/>
        <v>-2.2420052853464142E-2</v>
      </c>
      <c r="E81" s="120">
        <f t="shared" si="5"/>
        <v>0</v>
      </c>
      <c r="F81" s="120">
        <f t="shared" si="6"/>
        <v>0</v>
      </c>
      <c r="G81" s="120">
        <f t="shared" si="7"/>
        <v>0</v>
      </c>
      <c r="H81" s="120">
        <f t="shared" si="8"/>
        <v>0</v>
      </c>
      <c r="I81" s="125">
        <f t="shared" si="9"/>
        <v>-244.3538586479828</v>
      </c>
      <c r="J81" s="125">
        <f t="shared" si="10"/>
        <v>0</v>
      </c>
    </row>
    <row r="82" spans="1:10" x14ac:dyDescent="0.2">
      <c r="A82" s="120">
        <f t="shared" si="1"/>
        <v>58</v>
      </c>
      <c r="B82" s="120">
        <f t="shared" si="2"/>
        <v>5</v>
      </c>
      <c r="C82" s="120">
        <f t="shared" si="3"/>
        <v>287.5</v>
      </c>
      <c r="D82" s="124">
        <f t="shared" si="4"/>
        <v>-2.2878814850870587E-2</v>
      </c>
      <c r="E82" s="120">
        <f t="shared" si="5"/>
        <v>0</v>
      </c>
      <c r="F82" s="120">
        <f t="shared" si="6"/>
        <v>0</v>
      </c>
      <c r="G82" s="120">
        <f t="shared" si="7"/>
        <v>0</v>
      </c>
      <c r="H82" s="120">
        <f t="shared" si="8"/>
        <v>0</v>
      </c>
      <c r="I82" s="125">
        <f t="shared" si="9"/>
        <v>-249.3538586479828</v>
      </c>
      <c r="J82" s="125">
        <f t="shared" si="10"/>
        <v>0</v>
      </c>
    </row>
    <row r="83" spans="1:10" x14ac:dyDescent="0.2">
      <c r="A83" s="120">
        <f t="shared" si="1"/>
        <v>59</v>
      </c>
      <c r="B83" s="120">
        <f t="shared" si="2"/>
        <v>5</v>
      </c>
      <c r="C83" s="120">
        <f t="shared" si="3"/>
        <v>292.5</v>
      </c>
      <c r="D83" s="124">
        <f t="shared" si="4"/>
        <v>-2.3337576848277031E-2</v>
      </c>
      <c r="E83" s="120">
        <f t="shared" si="5"/>
        <v>0</v>
      </c>
      <c r="F83" s="120">
        <f t="shared" si="6"/>
        <v>0</v>
      </c>
      <c r="G83" s="120">
        <f t="shared" si="7"/>
        <v>0</v>
      </c>
      <c r="H83" s="120">
        <f t="shared" si="8"/>
        <v>0</v>
      </c>
      <c r="I83" s="125">
        <f t="shared" si="9"/>
        <v>-254.3538586479828</v>
      </c>
      <c r="J83" s="125">
        <f t="shared" si="10"/>
        <v>0</v>
      </c>
    </row>
    <row r="84" spans="1:10" x14ac:dyDescent="0.2">
      <c r="A84" s="120">
        <f t="shared" si="1"/>
        <v>60</v>
      </c>
      <c r="B84" s="120">
        <f t="shared" si="2"/>
        <v>5</v>
      </c>
      <c r="C84" s="120">
        <f t="shared" si="3"/>
        <v>297.5</v>
      </c>
      <c r="D84" s="124">
        <f t="shared" si="4"/>
        <v>-2.3796338845683478E-2</v>
      </c>
      <c r="E84" s="120">
        <f t="shared" si="5"/>
        <v>0</v>
      </c>
      <c r="F84" s="120">
        <f t="shared" si="6"/>
        <v>0</v>
      </c>
      <c r="G84" s="120">
        <f t="shared" si="7"/>
        <v>0</v>
      </c>
      <c r="H84" s="120">
        <f t="shared" si="8"/>
        <v>0</v>
      </c>
      <c r="I84" s="125">
        <f t="shared" si="9"/>
        <v>-259.3538586479828</v>
      </c>
      <c r="J84" s="125">
        <f t="shared" si="10"/>
        <v>0</v>
      </c>
    </row>
    <row r="85" spans="1:10" x14ac:dyDescent="0.2">
      <c r="A85" s="120">
        <f t="shared" si="1"/>
        <v>61</v>
      </c>
      <c r="B85" s="120">
        <f t="shared" si="2"/>
        <v>5</v>
      </c>
      <c r="C85" s="120">
        <f t="shared" si="3"/>
        <v>302.5</v>
      </c>
      <c r="D85" s="124">
        <f t="shared" si="4"/>
        <v>-2.4255100843089922E-2</v>
      </c>
      <c r="E85" s="120">
        <f t="shared" si="5"/>
        <v>0</v>
      </c>
      <c r="F85" s="120">
        <f t="shared" si="6"/>
        <v>0</v>
      </c>
      <c r="G85" s="120">
        <f t="shared" si="7"/>
        <v>0</v>
      </c>
      <c r="H85" s="120">
        <f t="shared" si="8"/>
        <v>0</v>
      </c>
      <c r="I85" s="125">
        <f t="shared" si="9"/>
        <v>-264.3538586479828</v>
      </c>
      <c r="J85" s="125">
        <f t="shared" si="10"/>
        <v>0</v>
      </c>
    </row>
    <row r="86" spans="1:10" x14ac:dyDescent="0.2">
      <c r="A86" s="120">
        <f t="shared" si="1"/>
        <v>62</v>
      </c>
      <c r="B86" s="120">
        <f t="shared" si="2"/>
        <v>5</v>
      </c>
      <c r="C86" s="120">
        <f t="shared" si="3"/>
        <v>307.5</v>
      </c>
      <c r="D86" s="124">
        <f t="shared" si="4"/>
        <v>-2.4713862840496367E-2</v>
      </c>
      <c r="E86" s="120">
        <f t="shared" si="5"/>
        <v>0</v>
      </c>
      <c r="F86" s="120">
        <f t="shared" si="6"/>
        <v>0</v>
      </c>
      <c r="G86" s="120">
        <f t="shared" si="7"/>
        <v>0</v>
      </c>
      <c r="H86" s="120">
        <f t="shared" si="8"/>
        <v>0</v>
      </c>
      <c r="I86" s="125">
        <f t="shared" si="9"/>
        <v>-269.3538586479828</v>
      </c>
      <c r="J86" s="125">
        <f t="shared" si="10"/>
        <v>0</v>
      </c>
    </row>
    <row r="87" spans="1:10" x14ac:dyDescent="0.2">
      <c r="A87" s="120">
        <f t="shared" si="1"/>
        <v>63</v>
      </c>
      <c r="B87" s="120">
        <f t="shared" si="2"/>
        <v>5</v>
      </c>
      <c r="C87" s="120">
        <f t="shared" si="3"/>
        <v>312.5</v>
      </c>
      <c r="D87" s="124">
        <f t="shared" si="4"/>
        <v>-2.5172624837902814E-2</v>
      </c>
      <c r="E87" s="120">
        <f t="shared" si="5"/>
        <v>0</v>
      </c>
      <c r="F87" s="120">
        <f t="shared" si="6"/>
        <v>0</v>
      </c>
      <c r="G87" s="120">
        <f t="shared" si="7"/>
        <v>0</v>
      </c>
      <c r="H87" s="120">
        <f t="shared" si="8"/>
        <v>0</v>
      </c>
      <c r="I87" s="125">
        <f t="shared" si="9"/>
        <v>-274.3538586479828</v>
      </c>
      <c r="J87" s="125">
        <f t="shared" si="10"/>
        <v>0</v>
      </c>
    </row>
    <row r="88" spans="1:10" x14ac:dyDescent="0.2">
      <c r="A88" s="120">
        <f t="shared" si="1"/>
        <v>64</v>
      </c>
      <c r="B88" s="120">
        <f t="shared" si="2"/>
        <v>5</v>
      </c>
      <c r="C88" s="120">
        <f t="shared" si="3"/>
        <v>317.5</v>
      </c>
      <c r="D88" s="124">
        <f t="shared" si="4"/>
        <v>-2.5631386835309258E-2</v>
      </c>
      <c r="E88" s="120">
        <f t="shared" si="5"/>
        <v>0</v>
      </c>
      <c r="F88" s="120">
        <f t="shared" si="6"/>
        <v>0</v>
      </c>
      <c r="G88" s="120">
        <f t="shared" si="7"/>
        <v>0</v>
      </c>
      <c r="H88" s="120">
        <f t="shared" si="8"/>
        <v>0</v>
      </c>
      <c r="I88" s="125">
        <f t="shared" si="9"/>
        <v>-279.3538586479828</v>
      </c>
      <c r="J88" s="125">
        <f t="shared" si="10"/>
        <v>0</v>
      </c>
    </row>
    <row r="89" spans="1:10" x14ac:dyDescent="0.2">
      <c r="A89" s="120">
        <f t="shared" si="1"/>
        <v>65</v>
      </c>
      <c r="B89" s="120">
        <f t="shared" si="2"/>
        <v>5</v>
      </c>
      <c r="C89" s="120">
        <f t="shared" si="3"/>
        <v>322.5</v>
      </c>
      <c r="D89" s="124">
        <f t="shared" si="4"/>
        <v>-2.6090148832715706E-2</v>
      </c>
      <c r="E89" s="120">
        <f t="shared" si="5"/>
        <v>0</v>
      </c>
      <c r="F89" s="120">
        <f t="shared" si="6"/>
        <v>0</v>
      </c>
      <c r="G89" s="120">
        <f t="shared" si="7"/>
        <v>0</v>
      </c>
      <c r="H89" s="120">
        <f t="shared" si="8"/>
        <v>0</v>
      </c>
      <c r="I89" s="125">
        <f t="shared" si="9"/>
        <v>-284.3538586479828</v>
      </c>
      <c r="J89" s="125">
        <f t="shared" si="10"/>
        <v>0</v>
      </c>
    </row>
    <row r="90" spans="1:10" x14ac:dyDescent="0.2">
      <c r="A90" s="120">
        <f t="shared" si="1"/>
        <v>66</v>
      </c>
      <c r="B90" s="120">
        <f t="shared" si="2"/>
        <v>5</v>
      </c>
      <c r="C90" s="120">
        <f t="shared" si="3"/>
        <v>327.5</v>
      </c>
      <c r="D90" s="124">
        <f t="shared" si="4"/>
        <v>-2.6548910830122147E-2</v>
      </c>
      <c r="E90" s="120">
        <f t="shared" si="5"/>
        <v>0</v>
      </c>
      <c r="F90" s="120">
        <f t="shared" si="6"/>
        <v>0</v>
      </c>
      <c r="G90" s="120">
        <f t="shared" si="7"/>
        <v>0</v>
      </c>
      <c r="H90" s="120">
        <f t="shared" si="8"/>
        <v>0</v>
      </c>
      <c r="I90" s="125">
        <f t="shared" si="9"/>
        <v>-289.3538586479828</v>
      </c>
      <c r="J90" s="125">
        <f t="shared" si="10"/>
        <v>0</v>
      </c>
    </row>
    <row r="91" spans="1:10" x14ac:dyDescent="0.2">
      <c r="A91" s="120">
        <f t="shared" si="1"/>
        <v>67</v>
      </c>
      <c r="B91" s="120">
        <f t="shared" si="2"/>
        <v>5</v>
      </c>
      <c r="C91" s="120">
        <f t="shared" si="3"/>
        <v>332.5</v>
      </c>
      <c r="D91" s="124">
        <f t="shared" si="4"/>
        <v>-2.7007672827528594E-2</v>
      </c>
      <c r="E91" s="120">
        <f t="shared" si="5"/>
        <v>0</v>
      </c>
      <c r="F91" s="120">
        <f t="shared" si="6"/>
        <v>0</v>
      </c>
      <c r="G91" s="120">
        <f t="shared" si="7"/>
        <v>0</v>
      </c>
      <c r="H91" s="120">
        <f t="shared" si="8"/>
        <v>0</v>
      </c>
      <c r="I91" s="125">
        <f t="shared" si="9"/>
        <v>-294.3538586479828</v>
      </c>
      <c r="J91" s="125">
        <f t="shared" si="10"/>
        <v>0</v>
      </c>
    </row>
    <row r="92" spans="1:10" x14ac:dyDescent="0.2">
      <c r="A92" s="120">
        <f t="shared" si="1"/>
        <v>68</v>
      </c>
      <c r="B92" s="120">
        <f t="shared" si="2"/>
        <v>5</v>
      </c>
      <c r="C92" s="120">
        <f t="shared" si="3"/>
        <v>337.5</v>
      </c>
      <c r="D92" s="124">
        <f t="shared" si="4"/>
        <v>-2.7466434824935035E-2</v>
      </c>
      <c r="E92" s="120">
        <f t="shared" si="5"/>
        <v>0</v>
      </c>
      <c r="F92" s="120">
        <f t="shared" si="6"/>
        <v>0</v>
      </c>
      <c r="G92" s="120">
        <f t="shared" si="7"/>
        <v>0</v>
      </c>
      <c r="H92" s="120">
        <f t="shared" si="8"/>
        <v>0</v>
      </c>
      <c r="I92" s="125">
        <f t="shared" si="9"/>
        <v>-299.3538586479828</v>
      </c>
      <c r="J92" s="125">
        <f t="shared" si="10"/>
        <v>0</v>
      </c>
    </row>
    <row r="93" spans="1:10" x14ac:dyDescent="0.2">
      <c r="A93" s="120">
        <f t="shared" si="1"/>
        <v>69</v>
      </c>
      <c r="B93" s="120">
        <f t="shared" si="2"/>
        <v>5</v>
      </c>
      <c r="C93" s="120">
        <f t="shared" si="3"/>
        <v>342.5</v>
      </c>
      <c r="D93" s="124">
        <f t="shared" si="4"/>
        <v>-2.7925196822341482E-2</v>
      </c>
      <c r="E93" s="120">
        <f t="shared" si="5"/>
        <v>0</v>
      </c>
      <c r="F93" s="120">
        <f t="shared" si="6"/>
        <v>0</v>
      </c>
      <c r="G93" s="120">
        <f t="shared" si="7"/>
        <v>0</v>
      </c>
      <c r="H93" s="120">
        <f t="shared" si="8"/>
        <v>0</v>
      </c>
      <c r="I93" s="125">
        <f t="shared" si="9"/>
        <v>-304.3538586479828</v>
      </c>
      <c r="J93" s="125">
        <f t="shared" si="10"/>
        <v>0</v>
      </c>
    </row>
    <row r="94" spans="1:10" x14ac:dyDescent="0.2">
      <c r="A94" s="103">
        <f t="shared" si="1"/>
        <v>70</v>
      </c>
      <c r="B94" s="103">
        <f t="shared" si="2"/>
        <v>5</v>
      </c>
      <c r="C94" s="103">
        <f t="shared" si="3"/>
        <v>347.5</v>
      </c>
      <c r="D94" s="134">
        <f t="shared" si="4"/>
        <v>-2.838395881974793E-2</v>
      </c>
      <c r="E94" s="103">
        <f t="shared" si="5"/>
        <v>0</v>
      </c>
      <c r="F94" s="103">
        <f t="shared" si="6"/>
        <v>0</v>
      </c>
      <c r="G94" s="103">
        <f t="shared" si="7"/>
        <v>0</v>
      </c>
      <c r="H94" s="103">
        <f t="shared" si="8"/>
        <v>0</v>
      </c>
      <c r="I94" s="135">
        <f t="shared" si="9"/>
        <v>-309.3538586479828</v>
      </c>
      <c r="J94" s="135">
        <f t="shared" si="10"/>
        <v>0</v>
      </c>
    </row>
    <row r="95" spans="1:10" x14ac:dyDescent="0.2">
      <c r="D95" s="136"/>
    </row>
  </sheetData>
  <mergeCells count="14">
    <mergeCell ref="F14:G14"/>
    <mergeCell ref="A15:B15"/>
    <mergeCell ref="A1:G1"/>
    <mergeCell ref="A2:B2"/>
    <mergeCell ref="C2:D2"/>
    <mergeCell ref="A6:B6"/>
    <mergeCell ref="F6:H6"/>
    <mergeCell ref="F7:G7"/>
    <mergeCell ref="F8:G8"/>
    <mergeCell ref="F9:G9"/>
    <mergeCell ref="F10:G10"/>
    <mergeCell ref="F11:G11"/>
    <mergeCell ref="F12:G12"/>
    <mergeCell ref="F13:G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Pregunta 2</vt:lpstr>
      <vt:lpstr>Pregunta 3.A-G</vt:lpstr>
      <vt:lpstr>Pregunta 3.B</vt:lpstr>
      <vt:lpstr>Pregunta 3.C</vt:lpstr>
      <vt:lpstr>Pregunta 3.D</vt:lpstr>
      <vt:lpstr>Pregunta 3.E</vt:lpstr>
      <vt:lpstr>Pregunta 3.F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juanpa caceres</cp:lastModifiedBy>
  <dcterms:modified xsi:type="dcterms:W3CDTF">2026-09-10T03:02:20Z</dcterms:modified>
</cp:coreProperties>
</file>